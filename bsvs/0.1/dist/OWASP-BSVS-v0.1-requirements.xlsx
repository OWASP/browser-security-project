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erry/playground/owasp_browser-security-project/"/>
    </mc:Choice>
  </mc:AlternateContent>
  <xr:revisionPtr revIDLastSave="0" documentId="8_{CAC8F849-77F1-FB4B-A6D9-034C03FC61F5}" xr6:coauthVersionLast="47" xr6:coauthVersionMax="47" xr10:uidLastSave="{00000000-0000-0000-0000-000000000000}"/>
  <bookViews>
    <workbookView xWindow="0" yWindow="660" windowWidth="34560" windowHeight="20260" tabRatio="500" activeTab="1" xr2:uid="{00000000-000D-0000-FFFF-FFFF00000000}"/>
  </bookViews>
  <sheets>
    <sheet name="README" sheetId="1" r:id="rId1"/>
    <sheet name="Requirements" sheetId="2" r:id="rId2"/>
    <sheet name="Summary" sheetId="3" r:id="rId3"/>
  </sheets>
  <definedNames>
    <definedName name="_xlnm._FilterDatabase" localSheetId="1" hidden="1">Requirements!$A$1:$O$100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9" i="3" l="1"/>
  <c r="C18" i="3"/>
  <c r="C17" i="3"/>
  <c r="E12" i="3"/>
  <c r="F12" i="3" s="1"/>
  <c r="D12" i="3"/>
  <c r="C12" i="3"/>
  <c r="E11" i="3"/>
  <c r="D11" i="3"/>
  <c r="C11" i="3"/>
  <c r="F11" i="3" s="1"/>
  <c r="E10" i="3"/>
  <c r="D10" i="3"/>
  <c r="C10" i="3"/>
  <c r="F10" i="3" s="1"/>
  <c r="E9" i="3"/>
  <c r="D9" i="3"/>
  <c r="F9" i="3" s="1"/>
  <c r="C9" i="3"/>
  <c r="E8" i="3"/>
  <c r="D8" i="3"/>
  <c r="C8" i="3"/>
  <c r="E7" i="3"/>
  <c r="F7" i="3" s="1"/>
  <c r="D7" i="3"/>
  <c r="C7" i="3"/>
  <c r="E6" i="3"/>
  <c r="D6" i="3"/>
  <c r="C6" i="3"/>
  <c r="F6" i="3" s="1"/>
  <c r="E5" i="3"/>
  <c r="E13" i="3" s="1"/>
  <c r="D5" i="3"/>
  <c r="C5" i="3"/>
  <c r="F8" i="3" l="1"/>
  <c r="D13" i="3"/>
  <c r="C13" i="3"/>
  <c r="F5" i="3"/>
  <c r="F13" i="3" s="1"/>
</calcChain>
</file>

<file path=xl/sharedStrings.xml><?xml version="1.0" encoding="utf-8"?>
<sst xmlns="http://schemas.openxmlformats.org/spreadsheetml/2006/main" count="848" uniqueCount="301">
  <si>
    <t>OWASP Browser Security Verification Standard (BSVS)</t>
  </si>
  <si>
    <t>Purpose</t>
  </si>
  <si>
    <t>A verifiable set of technical, governance, and policy controls for reducing browser-layer risk in enterprise organizations. Peer to OWASP ASVS (applications) and MASVS (mobile).</t>
  </si>
  <si>
    <t>How to use</t>
  </si>
  <si>
    <t>Each row on the Requirements sheet is one independently assessable control phrased as 'Verify that…'. Filter by Chapter, Control Type, or Level to work your slice. The Status and Notes columns are provided for organizations using this file as a self-assessment register.</t>
  </si>
  <si>
    <t>Requirement ID</t>
  </si>
  <si>
    <t>BSVS-&lt;chapter&gt;.&lt;section&gt;.&lt;item&gt;, e.g. BSVS-3.1.2.</t>
  </si>
  <si>
    <t>Control types</t>
  </si>
  <si>
    <t>Technical (enforced by configuration or tooling) · Governance (process, ownership, review) · Policy (documented rules for people).</t>
  </si>
  <si>
    <t>Draft status</t>
  </si>
  <si>
    <t>This is a v0.1 outline for community review. Mapping columns (ATT&amp;CK, CWE, CIS, NIST CSF) are intentionally blank for community completion. Contribute via the OWASP Browser Security Project on GitHub.</t>
  </si>
  <si>
    <t>Assessment Levels</t>
  </si>
  <si>
    <t>L1 — Baseline</t>
  </si>
  <si>
    <t>Minimum hygiene for any organization using browsers for business. Applies to all organizations.</t>
  </si>
  <si>
    <t>L2 — Managed</t>
  </si>
  <si>
    <t>Organizations with centrally managed fleets, sensitive data, or compliance obligations. Most enterprises. Includes L1.</t>
  </si>
  <si>
    <t>L3 — High Assurance</t>
  </si>
  <si>
    <t>Regulated, high-security, or high-value-target environments (finance, health, government, critical infrastructure). Includes L1 and L2.</t>
  </si>
  <si>
    <t>Chapters</t>
  </si>
  <si>
    <t>V1</t>
  </si>
  <si>
    <t>Browser Governance, Ownership &amp; Policy  (12 requirements)</t>
  </si>
  <si>
    <t>V2</t>
  </si>
  <si>
    <t>Deployment, Configuration &amp; Update Management  (18 requirements)</t>
  </si>
  <si>
    <t>V3</t>
  </si>
  <si>
    <t>Extension &amp; Plugin Management  (12 requirements)</t>
  </si>
  <si>
    <t>V4</t>
  </si>
  <si>
    <t>Identity, Session &amp; Credential Protection  (13 requirements)</t>
  </si>
  <si>
    <t>V5</t>
  </si>
  <si>
    <t>Data Protection &amp; Exfiltration Control  (11 requirements)</t>
  </si>
  <si>
    <t>V6</t>
  </si>
  <si>
    <t>Threat Protection &amp; Safe Browsing  (12 requirements)</t>
  </si>
  <si>
    <t>V7</t>
  </si>
  <si>
    <t>AI &amp; Agentic Browsing  (11 requirements)</t>
  </si>
  <si>
    <t>V8</t>
  </si>
  <si>
    <t>Monitoring, Telemetry &amp; Incident Response  (10 requirements)</t>
  </si>
  <si>
    <t>Req ID</t>
  </si>
  <si>
    <t>Chapter</t>
  </si>
  <si>
    <t>Section</t>
  </si>
  <si>
    <t>Requirement</t>
  </si>
  <si>
    <t>Control Type</t>
  </si>
  <si>
    <t>Level</t>
  </si>
  <si>
    <t>L1</t>
  </si>
  <si>
    <t>L2</t>
  </si>
  <si>
    <t>L3</t>
  </si>
  <si>
    <t>ATT&amp;CK / ATLAS</t>
  </si>
  <si>
    <t>CWE</t>
  </si>
  <si>
    <t>CIS Benchmark</t>
  </si>
  <si>
    <t>NIST CSF</t>
  </si>
  <si>
    <t>Status</t>
  </si>
  <si>
    <t>Notes</t>
  </si>
  <si>
    <t>BSVS-1.1.1</t>
  </si>
  <si>
    <t>V1: Browser Governance, Ownership &amp; Policy</t>
  </si>
  <si>
    <t>1.1 Ownership &amp; Accountability</t>
  </si>
  <si>
    <t>Verify that a named owner (role or team) is assigned responsibility for browser security policy and configuration across the organization</t>
  </si>
  <si>
    <t>Governance</t>
  </si>
  <si>
    <t>✓</t>
  </si>
  <si>
    <t>BSVS-1.1.2</t>
  </si>
  <si>
    <t>Verify that browser security responsibilities are documented across endpoint, identity, network, and application security functions with defined handoffs</t>
  </si>
  <si>
    <t>BSVS-1.1.3</t>
  </si>
  <si>
    <t>Verify that browser risk is represented in the organization's risk register and reviewed on a defined cadence</t>
  </si>
  <si>
    <t>BSVS-1.2.1</t>
  </si>
  <si>
    <t>1.2 Policy Coverage</t>
  </si>
  <si>
    <t>Verify that an acceptable use policy covers browser usage, including sanctioned browsers, personal profile use, and extension installation</t>
  </si>
  <si>
    <t>Policy</t>
  </si>
  <si>
    <t>BSVS-1.2.2</t>
  </si>
  <si>
    <t>Verify that policy defines which browsers and versions are approved for business use, and prohibits unmanaged browsers for access to sensitive systems</t>
  </si>
  <si>
    <t>BSVS-1.2.3</t>
  </si>
  <si>
    <t>Verify that policy addresses BYOD and unmanaged-device browser access to corporate resources, with technical enforcement defined</t>
  </si>
  <si>
    <t>BSVS-1.2.4</t>
  </si>
  <si>
    <t>Verify that GenAI usage via the browser (chatbots, sidebars, agents) is covered by policy, including data classification rules for what may be submitted</t>
  </si>
  <si>
    <t>BSVS-1.3.1</t>
  </si>
  <si>
    <t>1.3 Standards, Exceptions &amp; Review</t>
  </si>
  <si>
    <t>Verify that a documented exception process exists for deviations from browser policy, with expiry dates and compensating controls</t>
  </si>
  <si>
    <t>BSVS-1.3.2</t>
  </si>
  <si>
    <t>Verify that browser security policies and configurations are reviewed at least annually and after significant browser platform changes</t>
  </si>
  <si>
    <t>BSVS-1.3.3</t>
  </si>
  <si>
    <t>Verify that browser controls are included in internal audit or independent assessment scope</t>
  </si>
  <si>
    <t>BSVS-1.4.1</t>
  </si>
  <si>
    <t>1.4 Vendor &amp; Procurement Governance</t>
  </si>
  <si>
    <t>Verify that security requirements (including this standard) are considered when procuring enterprise browsers, browser security tooling, or browser-based SaaS</t>
  </si>
  <si>
    <t>BSVS-1.4.2</t>
  </si>
  <si>
    <t>Verify that third-party browser components (enterprise browsers, extension vendors) are covered by the organization's third-party risk process</t>
  </si>
  <si>
    <t>BSVS-2.1.1</t>
  </si>
  <si>
    <t>V2: Deployment, Configuration &amp; Update Management</t>
  </si>
  <si>
    <t>2.1 Inventory &amp; Fleet Visibility</t>
  </si>
  <si>
    <t>Verify that the organization maintains an inventory of browsers (product and version) in use across managed endpoints</t>
  </si>
  <si>
    <t>Technical</t>
  </si>
  <si>
    <t>BSVS-2.1.2</t>
  </si>
  <si>
    <t>Verify that unmanaged or unapproved browsers on managed endpoints can be detected and remediated</t>
  </si>
  <si>
    <t>BSVS-2.1.3</t>
  </si>
  <si>
    <t>Verify that browser access to sensitive applications from outside the managed fleet is identified (e.g., via IdP or application logs)</t>
  </si>
  <si>
    <t>BSVS-2.2.1</t>
  </si>
  <si>
    <t>2.2 Centralized Configuration Management</t>
  </si>
  <si>
    <t>Verify that browser security settings are enforced centrally (e.g., via management policy) rather than relying on user-controlled defaults</t>
  </si>
  <si>
    <t>BSVS-2.2.2</t>
  </si>
  <si>
    <t>Verify that enforced configuration is derived from a documented hardening baseline (e.g., CIS Benchmarks) with deviations recorded</t>
  </si>
  <si>
    <t>BSVS-2.2.3</t>
  </si>
  <si>
    <t>Verify that users cannot disable or override security-relevant policies (e.g., Safe Browsing, extension controls, update settings)</t>
  </si>
  <si>
    <t>BSVS-2.2.4</t>
  </si>
  <si>
    <t>Verify that configuration drift from the approved baseline is detected and alerted</t>
  </si>
  <si>
    <t>BSVS-2.3.1</t>
  </si>
  <si>
    <t>2.3 Update &amp; Vulnerability Management</t>
  </si>
  <si>
    <t>Verify that automatic browser updates are enabled and cannot be disabled by users</t>
  </si>
  <si>
    <t>BSVS-2.3.2</t>
  </si>
  <si>
    <t>Verify that browser versions across the fleet reach the latest stable release within a defined SLA, with reporting on laggards</t>
  </si>
  <si>
    <t>BSVS-2.3.3</t>
  </si>
  <si>
    <t>Verify that a process exists for emergency deployment of browser patches for actively exploited vulnerabilities (0-days)</t>
  </si>
  <si>
    <t>BSVS-2.3.4</t>
  </si>
  <si>
    <t>Verify that browser and extension vulnerabilities are included in the organization's vulnerability management program</t>
  </si>
  <si>
    <t>BSVS-2.3.5</t>
  </si>
  <si>
    <t>Verify that relaunch/restart is enforced within a defined window after update download so patches take effect</t>
  </si>
  <si>
    <t>BSVS-2.4.1</t>
  </si>
  <si>
    <t>2.4 Feature &amp; API Surface Reduction</t>
  </si>
  <si>
    <t>Verify that unneeded high-risk browser capabilities (e.g., WebUSB, WebSerial, WebBluetooth, remote debugging) are disabled by policy where there is no business need</t>
  </si>
  <si>
    <t>BSVS-2.4.2</t>
  </si>
  <si>
    <t>Verify that developer tools and browser flags are restricted on endpoints or for users where there is no business need</t>
  </si>
  <si>
    <t>BSVS-2.4.3</t>
  </si>
  <si>
    <t>Verify that legacy or deprecated protocols and features (e.g., insecure TLS versions, deprecated plugin interfaces) are disabled fleet-wide</t>
  </si>
  <si>
    <t>BSVS-2.5.1</t>
  </si>
  <si>
    <t>2.5 Profiles &amp; Environment Separation</t>
  </si>
  <si>
    <t>Verify that corporate browser profiles are separated from personal profiles, with corporate data confined to managed profiles</t>
  </si>
  <si>
    <t>BSVS-2.5.2</t>
  </si>
  <si>
    <t>Verify that sync of corporate profile data (passwords, history, tabs) to personal accounts is blocked</t>
  </si>
  <si>
    <t>BSVS-2.5.3</t>
  </si>
  <si>
    <t>Verify that high-risk browsing (unknown sites) can be isolated from sessions accessing sensitive applications (e.g., separate profiles, isolation technology)</t>
  </si>
  <si>
    <t>BSVS-3.1.1</t>
  </si>
  <si>
    <t>V3: Extension &amp; Plugin Management</t>
  </si>
  <si>
    <t>3.1 Installation Control</t>
  </si>
  <si>
    <t>Verify that users cannot install extensions from arbitrary or unofficial sources (sideloading, developer mode) on managed browsers</t>
  </si>
  <si>
    <t>BSVS-3.1.2</t>
  </si>
  <si>
    <t>Verify that extension installation is restricted to an approved allowlist, or that a defined blocklist plus permission-based restrictions are enforced</t>
  </si>
  <si>
    <t>BSVS-3.1.3</t>
  </si>
  <si>
    <t>Verify that extension installation requests follow a documented review-and-approval workflow</t>
  </si>
  <si>
    <t>BSVS-3.2.1</t>
  </si>
  <si>
    <t>3.2 Review &amp; Risk Assessment</t>
  </si>
  <si>
    <t>Verify that a documented process exists for assessing extensions before approval, covering permissions requested, publisher reputation, and data handling</t>
  </si>
  <si>
    <t>BSVS-3.2.2</t>
  </si>
  <si>
    <t>Verify that extensions requesting high-risk permissions (e.g., access to all sites, reading browsing data, clipboard, native messaging) receive heightened review</t>
  </si>
  <si>
    <t>BSVS-3.2.3</t>
  </si>
  <si>
    <t>Verify that approved extensions are re-assessed on ownership change, permission escalation, or a defined periodic cadence</t>
  </si>
  <si>
    <t>BSVS-3.3.1</t>
  </si>
  <si>
    <t>3.3 Runtime &amp; Lifecycle Control</t>
  </si>
  <si>
    <t>Verify that installed extensions across the fleet are inventoried, including version and permission set</t>
  </si>
  <si>
    <t>BSVS-3.3.2</t>
  </si>
  <si>
    <t>Verify that an extension can be force-removed or disabled fleet-wide within a defined SLA when found malicious or compromised</t>
  </si>
  <si>
    <t>BSVS-3.3.3</t>
  </si>
  <si>
    <t>Verify that extension permission changes on update are detected and trigger re-review</t>
  </si>
  <si>
    <t>BSVS-3.3.4</t>
  </si>
  <si>
    <t>Verify that extensions are blocked or restricted from running on designated sensitive sites (e.g., admin consoles, banking, healthcare records)</t>
  </si>
  <si>
    <t>BSVS-3.4.1</t>
  </si>
  <si>
    <t>3.4 Enterprise-Developed Extensions</t>
  </si>
  <si>
    <t>Verify that internally developed extensions follow secure development practices and are distributed through managed channels only</t>
  </si>
  <si>
    <t>BSVS-3.4.2</t>
  </si>
  <si>
    <t>Verify that internally developed extensions undergo security review equivalent to other internal software before deployment</t>
  </si>
  <si>
    <t>BSVS-4.1.1</t>
  </si>
  <si>
    <t>V4: Identity, Session &amp; Credential Protection</t>
  </si>
  <si>
    <t>4.1 Authentication &amp; Federation</t>
  </si>
  <si>
    <t>Verify that access to sensitive corporate applications through the browser requires SSO with MFA</t>
  </si>
  <si>
    <t>BSVS-4.1.2</t>
  </si>
  <si>
    <t>Verify that phishing-resistant authentication (e.g., FIDO2/WebAuthn, passkeys) is deployed for high-value accounts and applications</t>
  </si>
  <si>
    <t>BSVS-4.1.3</t>
  </si>
  <si>
    <t>Verify that authentication policies evaluate device and browser posture (managed state, browser version) before granting access to sensitive applications</t>
  </si>
  <si>
    <t>BSVS-4.2.1</t>
  </si>
  <si>
    <t>4.2 Session &amp; Token Protection</t>
  </si>
  <si>
    <t>Verify that session anomalies (token reuse from new device/location/IP) for critical applications are detected and can trigger revocation</t>
  </si>
  <si>
    <t>BSVS-4.2.2</t>
  </si>
  <si>
    <t>Verify that session lifetimes and re-authentication requirements for sensitive applications are risk-appropriate and enforced</t>
  </si>
  <si>
    <t>BSVS-4.2.3</t>
  </si>
  <si>
    <t>Verify that session credentials are bound to the device where supported (e.g., device-bound session credentials, token binding mechanisms), so exfiltrated cookies cannot be replayed elsewhere</t>
  </si>
  <si>
    <t>BSVS-4.2.4</t>
  </si>
  <si>
    <t>Verify that administrative and privileged web sessions are conducted from hardened or isolated browser environments</t>
  </si>
  <si>
    <t>BSVS-4.3.1</t>
  </si>
  <si>
    <t>4.3 Credential Storage &amp; Password Management</t>
  </si>
  <si>
    <t>Verify that an approved password manager is available to users, and policy defines whether the browser's built-in manager is sanctioned</t>
  </si>
  <si>
    <t>BSVS-4.3.2</t>
  </si>
  <si>
    <t>Verify that browser-stored credentials are protected by OS-level encryption tied to the user account, and that saving corporate credentials into unsanctioned stores is restricted</t>
  </si>
  <si>
    <t>BSVS-4.3.3</t>
  </si>
  <si>
    <t>Verify that credential autofill is restricted to exact-match, legitimate origins (mitigating phishing-site autofill)</t>
  </si>
  <si>
    <t>BSVS-4.3.4</t>
  </si>
  <si>
    <t>Verify that corporate credentials cannot be entered into known-phishing or non-sanctioned lookalike sites (e.g., password reuse and paste detection for the corporate identity)</t>
  </si>
  <si>
    <t>BSVS-4.4.1</t>
  </si>
  <si>
    <t>4.4 OAuth &amp; Third-Party Grants</t>
  </si>
  <si>
    <t>Verify that user consent to third-party OAuth applications for corporate identities is restricted or subject to admin approval</t>
  </si>
  <si>
    <t>BSVS-4.4.2</t>
  </si>
  <si>
    <t>Verify that granted OAuth applications and scopes are periodically reviewed and stale or high-risk grants revoked</t>
  </si>
  <si>
    <t>BSVS-5.1.1</t>
  </si>
  <si>
    <t>V5: Data Protection &amp; Exfiltration Control</t>
  </si>
  <si>
    <t>5.1 Upload, Download &amp; Transfer Control</t>
  </si>
  <si>
    <t>Verify that downloads from sensitive corporate applications to unmanaged devices or unsanctioned locations can be controlled</t>
  </si>
  <si>
    <t>BSVS-5.1.2</t>
  </si>
  <si>
    <t>Verify that uploads of corporate data to unsanctioned destinations (personal cloud storage, file sharing, webmail) can be detected or blocked, based on data classification</t>
  </si>
  <si>
    <t>BSVS-5.1.3</t>
  </si>
  <si>
    <t>Verify that transfers between corporate and personal contexts of the same service (e.g., corporate vs personal tenant of the same SaaS) are distinguished and controlled (tenant restrictions)</t>
  </si>
  <si>
    <t>BSVS-5.2.1</t>
  </si>
  <si>
    <t>5.2 Clipboard, Print &amp; Screen Controls</t>
  </si>
  <si>
    <t>Verify that copy/paste of sensitive data from designated corporate applications to unsanctioned destinations can be restricted</t>
  </si>
  <si>
    <t>BSVS-5.2.2</t>
  </si>
  <si>
    <t>Verify that printing and screen capture of designated sensitive web applications can be restricted where required by data classification</t>
  </si>
  <si>
    <t>BSVS-5.3.1</t>
  </si>
  <si>
    <t>5.3 Shadow SaaS &amp; Unsanctioned Applications</t>
  </si>
  <si>
    <t>Verify that SaaS applications accessed through the browser are discoverable (shadow IT visibility), and access to unsanctioned categories can be controlled</t>
  </si>
  <si>
    <t>BSVS-5.3.2</t>
  </si>
  <si>
    <t>Verify that a process exists to sanction, tolerate, or block newly discovered SaaS applications based on risk</t>
  </si>
  <si>
    <t>BSVS-5.4.1</t>
  </si>
  <si>
    <t>5.4 GenAI Data Leakage</t>
  </si>
  <si>
    <t>Verify that submission of sensitive corporate data to unsanctioned GenAI services via the browser can be detected or blocked, consistent with policy (see 1.2.4)</t>
  </si>
  <si>
    <t>BSVS-5.4.2</t>
  </si>
  <si>
    <t>Verify that controls distinguish sanctioned enterprise GenAI tenants from consumer versions of the same tools</t>
  </si>
  <si>
    <t>BSVS-5.5.1</t>
  </si>
  <si>
    <t>5.5 Local Data Hygiene</t>
  </si>
  <si>
    <t>Verify that browser-cached corporate data on shared or kiosk endpoints is cleared between users/sessions</t>
  </si>
  <si>
    <t>BSVS-5.5.2</t>
  </si>
  <si>
    <t>Verify that corporate data in browser storage (cache, IndexedDB, service workers) on unmanaged devices is minimized or prevented for sensitive applications</t>
  </si>
  <si>
    <t>BSVS-6.1.1</t>
  </si>
  <si>
    <t>V6: Threat Protection &amp; Safe Browsing</t>
  </si>
  <si>
    <t>6.1 Malicious Site &amp; Phishing Protection</t>
  </si>
  <si>
    <t>Verify that reputation-based protection (e.g., Safe Browsing or equivalent) is enabled and enforced fleet-wide</t>
  </si>
  <si>
    <t>BSVS-6.1.2</t>
  </si>
  <si>
    <t>Verify that enhanced or real-time URL protection is enabled for the fleet, with privacy implications assessed and documented</t>
  </si>
  <si>
    <t>BSVS-6.1.3</t>
  </si>
  <si>
    <t>Verify that newly registered/observed domains and known AitM infrastructure indicators can be blocked at or before the browser</t>
  </si>
  <si>
    <t>BSVS-6.1.4</t>
  </si>
  <si>
    <t>Verify that in-browser page analysis or equivalent controls detect credential-harvesting pages impersonating corporate identity providers</t>
  </si>
  <si>
    <t>BSVS-6.2.1</t>
  </si>
  <si>
    <t>6.2 Download &amp; Content Threats</t>
  </si>
  <si>
    <t>Verify that downloaded files are scanned by endpoint protection before execution</t>
  </si>
  <si>
    <t>BSVS-6.2.2</t>
  </si>
  <si>
    <t>Verify that high-risk file types and password-protected archives from uncategorized sources are blocked or sandboxed by policy</t>
  </si>
  <si>
    <t>BSVS-6.2.3</t>
  </si>
  <si>
    <t>Verify that social-engineering execution patterns delivered via the browser (e.g., copy-run-paste "ClickFix" instructions) are addressed by technical control and user awareness</t>
  </si>
  <si>
    <t>BSVS-6.3.1</t>
  </si>
  <si>
    <t>6.3 Network &amp; Transport Protections</t>
  </si>
  <si>
    <t>Verify that HTTPS is required by default and users are warned or blocked on certificate errors, with error click-through disabled for managed fleets where feasible</t>
  </si>
  <si>
    <t>BSVS-6.3.2</t>
  </si>
  <si>
    <t>Verify that DNS-over-HTTPS behavior is explicitly configured to align with enterprise DNS security controls rather than left to browser defaults</t>
  </si>
  <si>
    <t>BSVS-6.3.3</t>
  </si>
  <si>
    <t>Verify that TLS inspection, where used, is scoped, documented, and excludes categories where inspection creates unacceptable privacy or legal risk</t>
  </si>
  <si>
    <t>BSVS-6.4.1</t>
  </si>
  <si>
    <t>6.4 User Awareness (Browser-Specific)</t>
  </si>
  <si>
    <t>Verify that security awareness training includes browser-specific threats: consent phishing, fake updates, malicious extensions, MFA-bypass phishing</t>
  </si>
  <si>
    <t>BSVS-6.4.2</t>
  </si>
  <si>
    <t>Verify that users have a low-friction way to report suspicious sites/pages encountered in the browser, and reports feed detection processes</t>
  </si>
  <si>
    <t>BSVS-7.1.1</t>
  </si>
  <si>
    <t>V7: AI &amp; Agentic Browsing</t>
  </si>
  <si>
    <t>7.1 Inventory &amp; Sanctioning of AI Capabilities</t>
  </si>
  <si>
    <t>Verify that AI-enabled browsers, sidebars, copilots, and agentic extensions in use are inventoried and classified as sanctioned or unsanctioned</t>
  </si>
  <si>
    <t>BSVS-7.1.2</t>
  </si>
  <si>
    <t>Verify that policy defines which AI browsing capabilities are permitted, for which users, and with access to which data classes</t>
  </si>
  <si>
    <t>BSVS-7.1.3</t>
  </si>
  <si>
    <t>Verify that unsanctioned AI browsers and agentic extensions can be technically blocked on managed endpoints</t>
  </si>
  <si>
    <t>BSVS-7.2.1</t>
  </si>
  <si>
    <t>7.2 Agent Authority &amp; Session Access</t>
  </si>
  <si>
    <t>Verify that agentic capabilities cannot operate with access to authenticated corporate sessions unless explicitly sanctioned for that application</t>
  </si>
  <si>
    <t>BSVS-7.2.2</t>
  </si>
  <si>
    <t>Verify that sanctioned agents operate under least privilege: scoped to defined sites/tasks, with sensitive actions (payments, permission changes, data export, sending communications) requiring human confirmation</t>
  </si>
  <si>
    <t>BSVS-7.2.3</t>
  </si>
  <si>
    <t>Verify that agent sessions are distinguishable from human sessions in application and identity logs</t>
  </si>
  <si>
    <t>BSVS-7.3.1</t>
  </si>
  <si>
    <t>7.3 Prompt Injection &amp; Content Manipulation</t>
  </si>
  <si>
    <t>Verify that the organization has assessed prompt-injection risk (page content or documents steering agent behavior) for each sanctioned agentic capability</t>
  </si>
  <si>
    <t>BSVS-7.3.2</t>
  </si>
  <si>
    <t>Verify that mitigations exist for untrusted-content-driven agent actions (e.g., restricting agent browsing to trusted origins, isolating agent context from sensitive tabs, requiring confirmation for actions initiated after processing untrusted content)</t>
  </si>
  <si>
    <t>BSVS-7.4.1</t>
  </si>
  <si>
    <t>7.4 AI Data Handling &amp; Auditability</t>
  </si>
  <si>
    <t>Verify that data submitted to AI browser features is governed by the data protection controls in V5, including page-context capture by sidebars/copilots</t>
  </si>
  <si>
    <t>BSVS-7.4.2</t>
  </si>
  <si>
    <t>Verify that sanctioned AI browsing features log actions taken and data accessed sufficiently to support incident investigation</t>
  </si>
  <si>
    <t>BSVS-7.4.3</t>
  </si>
  <si>
    <t>Verify that AI browsing capabilities are included in incident response planning, including revoking agent access and investigating agent-performed actions</t>
  </si>
  <si>
    <t>BSVS-8.1.1</t>
  </si>
  <si>
    <t>V8: Monitoring, Telemetry &amp; Incident Response</t>
  </si>
  <si>
    <t>8.1 Telemetry Collection</t>
  </si>
  <si>
    <t>Verify that security-relevant browser events (extension installs, policy changes, malware/phishing blocks, dangerous downloads) are collected centrally</t>
  </si>
  <si>
    <t>BSVS-8.1.2</t>
  </si>
  <si>
    <t>Verify that browser telemetry collection is documented, proportionate, and compliant with applicable employee privacy law and internal policy</t>
  </si>
  <si>
    <t>BSVS-8.1.3</t>
  </si>
  <si>
    <t>Verify that telemetry covers data-movement events (uploads, downloads, paste to unsanctioned destinations) for sensitive data classes</t>
  </si>
  <si>
    <t>BSVS-8.2.1</t>
  </si>
  <si>
    <t>8.2 Detection &amp; Response Integration</t>
  </si>
  <si>
    <t>Verify that browser telemetry is integrated with the organization's detection stack (SIEM/XDR) with defined alerting use cases</t>
  </si>
  <si>
    <t>BSVS-8.2.2</t>
  </si>
  <si>
    <t>Verify that infostealer indicators (credential store access, mass cookie theft) on endpoints trigger revocation of browser sessions and credentials for affected users</t>
  </si>
  <si>
    <t>BSVS-8.2.3</t>
  </si>
  <si>
    <t>Verify that incident response playbooks cover browser-layer scenarios: malicious extension, session token theft, AitM-phished credentials, data exfiltration via browser</t>
  </si>
  <si>
    <t>BSVS-8.3.1</t>
  </si>
  <si>
    <t>8.3 Forensics &amp; Retention</t>
  </si>
  <si>
    <t>Verify that browser artifacts needed for investigation (history, extension state, download records) can be acquired from managed endpoints</t>
  </si>
  <si>
    <t>BSVS-8.3.2</t>
  </si>
  <si>
    <t>Verify that retention periods for browser telemetry meet investigation and regulatory needs</t>
  </si>
  <si>
    <t>BSVS-8.4.1</t>
  </si>
  <si>
    <t>8.4 Metrics &amp; Continuous Improvement</t>
  </si>
  <si>
    <t>Verify that browser security posture metrics (patch latency, policy compliance, unapproved extension count, unmanaged browser usage) are reported to security leadership on a defined cadence</t>
  </si>
  <si>
    <t>BSVS-8.4.2</t>
  </si>
  <si>
    <t>Verify that findings from browser-related incidents feed back into policy, configuration baselines, and this standard's local implementation</t>
  </si>
  <si>
    <t>Requirements by Chapter and Level</t>
  </si>
  <si>
    <t>Total</t>
  </si>
  <si>
    <t>Requirements by Control Type</t>
  </si>
  <si>
    <t>Count</t>
  </si>
  <si>
    <t>Note: 'Level' shows the tier at which a requirement first applies; levels are cumulative (checkmarks in the L1–L3 columns on the Requirements sheet show all tiers where it applies).</t>
  </si>
  <si>
    <t>Jerry Hoff</t>
  </si>
  <si>
    <t>Version 0.1:  Draft requirements register generated from the community outline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</si>
</sst>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6"/>
      <color rgb="FF1F3864"/>
      <name val="Arial"/>
      <family val="2"/>
    </font>
    <font>
      <i/>
      <sz val="16"/>
      <name val="Arial"/>
      <family val="2"/>
    </font>
    <font>
      <b/>
      <sz val="16"/>
      <name val="Arial"/>
      <family val="2"/>
    </font>
    <font>
      <sz val="16"/>
      <name val="Arial"/>
      <family val="2"/>
    </font>
    <font>
      <b/>
      <sz val="14"/>
      <color rgb="FFFFFFFF"/>
      <name val="Arial"/>
      <family val="2"/>
    </font>
    <font>
      <sz val="14"/>
      <color theme="1"/>
      <name val="Calibri"/>
      <family val="2"/>
      <charset val="1"/>
    </font>
    <font>
      <b/>
      <sz val="14"/>
      <name val="Arial"/>
      <family val="2"/>
    </font>
    <font>
      <sz val="14"/>
      <name val="Arial"/>
      <family val="2"/>
    </font>
    <font>
      <b/>
      <sz val="14"/>
      <color rgb="FF7030A0"/>
      <name val="Arial"/>
      <family val="2"/>
    </font>
    <font>
      <b/>
      <sz val="14"/>
      <color rgb="FF976500"/>
      <name val="Arial"/>
      <family val="2"/>
    </font>
    <font>
      <b/>
      <sz val="14"/>
      <color rgb="FF1F5C99"/>
      <name val="Arial"/>
      <family val="2"/>
    </font>
    <font>
      <b/>
      <sz val="14"/>
      <color rgb="FF1F3864"/>
      <name val="Arial"/>
      <family val="2"/>
    </font>
    <font>
      <i/>
      <sz val="14"/>
      <name val="Arial"/>
      <family val="2"/>
    </font>
    <font>
      <sz val="16"/>
      <color theme="1"/>
      <name val="Arial"/>
      <family val="2"/>
    </font>
  </fonts>
  <fills count="6">
    <fill>
      <patternFill patternType="none"/>
    </fill>
    <fill>
      <patternFill patternType="gray125"/>
    </fill>
    <fill>
      <patternFill patternType="solid">
        <fgColor rgb="FFE2EFDA"/>
        <bgColor rgb="FFFFF2CC"/>
      </patternFill>
    </fill>
    <fill>
      <patternFill patternType="solid">
        <fgColor rgb="FFFFF2CC"/>
        <bgColor rgb="FFFCE4EC"/>
      </patternFill>
    </fill>
    <fill>
      <patternFill patternType="solid">
        <fgColor rgb="FFFCE4EC"/>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3" fillId="2" borderId="1" xfId="0" applyFont="1" applyFill="1" applyBorder="1"/>
    <xf numFmtId="0" fontId="3" fillId="3" borderId="1" xfId="0" applyFont="1" applyFill="1" applyBorder="1"/>
    <xf numFmtId="0" fontId="3" fillId="4" borderId="1" xfId="0" applyFont="1" applyFill="1" applyBorder="1"/>
    <xf numFmtId="0" fontId="4" fillId="0" borderId="0" xfId="0" applyFont="1"/>
    <xf numFmtId="0" fontId="5" fillId="5" borderId="1" xfId="0" applyFont="1" applyFill="1" applyBorder="1" applyAlignment="1">
      <alignment horizontal="center" vertical="center" wrapText="1"/>
    </xf>
    <xf numFmtId="0" fontId="6" fillId="0" borderId="0" xfId="0" applyFont="1"/>
    <xf numFmtId="0" fontId="7" fillId="0" borderId="1" xfId="0" applyFont="1" applyBorder="1" applyAlignment="1">
      <alignment horizontal="center" vertical="top"/>
    </xf>
    <xf numFmtId="0" fontId="8" fillId="0" borderId="1" xfId="0" applyFont="1" applyBorder="1" applyAlignment="1">
      <alignment vertical="top" wrapText="1"/>
    </xf>
    <xf numFmtId="0" fontId="9" fillId="0" borderId="1" xfId="0" applyFont="1" applyBorder="1" applyAlignment="1">
      <alignment horizontal="center" vertical="top"/>
    </xf>
    <xf numFmtId="0" fontId="8" fillId="2" borderId="1" xfId="0" applyFont="1" applyFill="1" applyBorder="1" applyAlignment="1">
      <alignment horizontal="center" vertical="top"/>
    </xf>
    <xf numFmtId="0" fontId="8" fillId="0" borderId="1" xfId="0" applyFont="1" applyBorder="1" applyAlignment="1">
      <alignment horizontal="center" vertical="top"/>
    </xf>
    <xf numFmtId="0" fontId="8" fillId="3" borderId="1" xfId="0" applyFont="1" applyFill="1" applyBorder="1" applyAlignment="1">
      <alignment horizontal="center" vertical="top"/>
    </xf>
    <xf numFmtId="0" fontId="10" fillId="0" borderId="1" xfId="0" applyFont="1" applyBorder="1" applyAlignment="1">
      <alignment horizontal="center" vertical="top"/>
    </xf>
    <xf numFmtId="0" fontId="8" fillId="4" borderId="1" xfId="0" applyFont="1" applyFill="1" applyBorder="1" applyAlignment="1">
      <alignment horizontal="center" vertical="top"/>
    </xf>
    <xf numFmtId="0" fontId="11" fillId="0" borderId="1" xfId="0" applyFont="1" applyBorder="1" applyAlignment="1">
      <alignment horizontal="center" vertical="top"/>
    </xf>
    <xf numFmtId="0" fontId="12" fillId="0" borderId="0" xfId="0" applyFont="1"/>
    <xf numFmtId="0" fontId="5" fillId="5" borderId="1"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7" fillId="0" borderId="1" xfId="0" applyFont="1" applyBorder="1" applyAlignment="1">
      <alignment horizontal="center"/>
    </xf>
    <xf numFmtId="0" fontId="7" fillId="0" borderId="1" xfId="0" applyFont="1" applyBorder="1"/>
    <xf numFmtId="0" fontId="14" fillId="0" borderId="0" xfId="0" applyFont="1"/>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76500"/>
      <rgbColor rgb="FF800080"/>
      <rgbColor rgb="FF008080"/>
      <rgbColor rgb="FFBFBFBF"/>
      <rgbColor rgb="FF808080"/>
      <rgbColor rgb="FF9999FF"/>
      <rgbColor rgb="FF7030A0"/>
      <rgbColor rgb="FFFFF2CC"/>
      <rgbColor rgb="FFCCFFFF"/>
      <rgbColor rgb="FF660066"/>
      <rgbColor rgb="FFFF8080"/>
      <rgbColor rgb="FF1F5C99"/>
      <rgbColor rgb="FFFCE4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4"/>
  <sheetViews>
    <sheetView showGridLines="0" topLeftCell="A2" zoomScaleNormal="100" workbookViewId="0">
      <selection activeCell="B12" sqref="B12"/>
    </sheetView>
  </sheetViews>
  <sheetFormatPr baseColWidth="10" defaultColWidth="8.6640625" defaultRowHeight="20" x14ac:dyDescent="0.2"/>
  <cols>
    <col min="1" max="1" width="3" style="26" customWidth="1"/>
    <col min="2" max="2" width="99.83203125" style="26" bestFit="1" customWidth="1"/>
    <col min="3" max="3" width="94.33203125" style="26" bestFit="1" customWidth="1"/>
    <col min="4" max="16384" width="8.6640625" style="26"/>
  </cols>
  <sheetData>
    <row r="2" spans="2:3" x14ac:dyDescent="0.2">
      <c r="B2" s="1" t="s">
        <v>0</v>
      </c>
    </row>
    <row r="3" spans="2:3" x14ac:dyDescent="0.2">
      <c r="B3" s="2" t="s">
        <v>300</v>
      </c>
    </row>
    <row r="4" spans="2:3" x14ac:dyDescent="0.2">
      <c r="B4" s="26" t="s">
        <v>299</v>
      </c>
    </row>
    <row r="5" spans="2:3" ht="63" x14ac:dyDescent="0.2">
      <c r="B5" s="3" t="s">
        <v>1</v>
      </c>
      <c r="C5" s="4" t="s">
        <v>2</v>
      </c>
    </row>
    <row r="6" spans="2:3" ht="84" x14ac:dyDescent="0.2">
      <c r="B6" s="3" t="s">
        <v>3</v>
      </c>
      <c r="C6" s="4" t="s">
        <v>4</v>
      </c>
    </row>
    <row r="7" spans="2:3" ht="21" x14ac:dyDescent="0.2">
      <c r="B7" s="3" t="s">
        <v>5</v>
      </c>
      <c r="C7" s="4" t="s">
        <v>6</v>
      </c>
    </row>
    <row r="8" spans="2:3" ht="42" x14ac:dyDescent="0.2">
      <c r="B8" s="3" t="s">
        <v>7</v>
      </c>
      <c r="C8" s="4" t="s">
        <v>8</v>
      </c>
    </row>
    <row r="9" spans="2:3" ht="63" x14ac:dyDescent="0.2">
      <c r="B9" s="3" t="s">
        <v>9</v>
      </c>
      <c r="C9" s="4" t="s">
        <v>10</v>
      </c>
    </row>
    <row r="11" spans="2:3" x14ac:dyDescent="0.2">
      <c r="B11" s="1" t="s">
        <v>11</v>
      </c>
    </row>
    <row r="12" spans="2:3" ht="42" x14ac:dyDescent="0.2">
      <c r="B12" s="5" t="s">
        <v>12</v>
      </c>
      <c r="C12" s="4" t="s">
        <v>13</v>
      </c>
    </row>
    <row r="13" spans="2:3" ht="42" x14ac:dyDescent="0.2">
      <c r="B13" s="6" t="s">
        <v>14</v>
      </c>
      <c r="C13" s="4" t="s">
        <v>15</v>
      </c>
    </row>
    <row r="14" spans="2:3" ht="42" x14ac:dyDescent="0.2">
      <c r="B14" s="7" t="s">
        <v>16</v>
      </c>
      <c r="C14" s="4" t="s">
        <v>17</v>
      </c>
    </row>
    <row r="16" spans="2:3" x14ac:dyDescent="0.2">
      <c r="B16" s="1" t="s">
        <v>18</v>
      </c>
    </row>
    <row r="17" spans="2:3" x14ac:dyDescent="0.2">
      <c r="B17" s="3" t="s">
        <v>19</v>
      </c>
      <c r="C17" s="8" t="s">
        <v>20</v>
      </c>
    </row>
    <row r="18" spans="2:3" x14ac:dyDescent="0.2">
      <c r="B18" s="3" t="s">
        <v>21</v>
      </c>
      <c r="C18" s="8" t="s">
        <v>22</v>
      </c>
    </row>
    <row r="19" spans="2:3" x14ac:dyDescent="0.2">
      <c r="B19" s="3" t="s">
        <v>23</v>
      </c>
      <c r="C19" s="8" t="s">
        <v>24</v>
      </c>
    </row>
    <row r="20" spans="2:3" x14ac:dyDescent="0.2">
      <c r="B20" s="3" t="s">
        <v>25</v>
      </c>
      <c r="C20" s="8" t="s">
        <v>26</v>
      </c>
    </row>
    <row r="21" spans="2:3" x14ac:dyDescent="0.2">
      <c r="B21" s="3" t="s">
        <v>27</v>
      </c>
      <c r="C21" s="8" t="s">
        <v>28</v>
      </c>
    </row>
    <row r="22" spans="2:3" x14ac:dyDescent="0.2">
      <c r="B22" s="3" t="s">
        <v>29</v>
      </c>
      <c r="C22" s="8" t="s">
        <v>30</v>
      </c>
    </row>
    <row r="23" spans="2:3" x14ac:dyDescent="0.2">
      <c r="B23" s="3" t="s">
        <v>31</v>
      </c>
      <c r="C23" s="8" t="s">
        <v>32</v>
      </c>
    </row>
    <row r="24" spans="2:3" x14ac:dyDescent="0.2">
      <c r="B24" s="3" t="s">
        <v>33</v>
      </c>
      <c r="C24" s="8"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
  <sheetViews>
    <sheetView tabSelected="1" zoomScaleNormal="100" workbookViewId="0">
      <pane xSplit="4" ySplit="1" topLeftCell="E2" activePane="bottomRight" state="frozen"/>
      <selection pane="topRight" activeCell="E1" sqref="E1"/>
      <selection pane="bottomLeft" activeCell="A2" sqref="A2"/>
      <selection pane="bottomRight" activeCell="H7" sqref="H7"/>
    </sheetView>
  </sheetViews>
  <sheetFormatPr baseColWidth="10" defaultColWidth="8.6640625" defaultRowHeight="19" x14ac:dyDescent="0.25"/>
  <cols>
    <col min="1" max="1" width="18.33203125" style="10" customWidth="1"/>
    <col min="2" max="2" width="63" style="10" customWidth="1"/>
    <col min="3" max="3" width="49.33203125" style="10" customWidth="1"/>
    <col min="4" max="4" width="83.33203125" style="10" customWidth="1"/>
    <col min="5" max="5" width="24.33203125" style="10" customWidth="1"/>
    <col min="6" max="6" width="12.33203125" style="10" bestFit="1" customWidth="1"/>
    <col min="7" max="9" width="9" style="10" bestFit="1" customWidth="1"/>
    <col min="10" max="10" width="25.83203125" style="10" bestFit="1" customWidth="1"/>
    <col min="11" max="11" width="11.5" style="10" bestFit="1" customWidth="1"/>
    <col min="12" max="12" width="23.6640625" style="10" bestFit="1" customWidth="1"/>
    <col min="13" max="13" width="16.83203125" style="10" bestFit="1" customWidth="1"/>
    <col min="14" max="14" width="13.5" style="10" bestFit="1" customWidth="1"/>
    <col min="15" max="15" width="12.83203125" style="10" bestFit="1" customWidth="1"/>
    <col min="16" max="16384" width="8.6640625" style="10"/>
  </cols>
  <sheetData>
    <row r="1" spans="1:15" x14ac:dyDescent="0.25">
      <c r="A1" s="9" t="s">
        <v>35</v>
      </c>
      <c r="B1" s="9" t="s">
        <v>36</v>
      </c>
      <c r="C1" s="9" t="s">
        <v>37</v>
      </c>
      <c r="D1" s="9" t="s">
        <v>38</v>
      </c>
      <c r="E1" s="9" t="s">
        <v>39</v>
      </c>
      <c r="F1" s="9" t="s">
        <v>40</v>
      </c>
      <c r="G1" s="9" t="s">
        <v>41</v>
      </c>
      <c r="H1" s="9" t="s">
        <v>42</v>
      </c>
      <c r="I1" s="9" t="s">
        <v>43</v>
      </c>
      <c r="J1" s="9" t="s">
        <v>44</v>
      </c>
      <c r="K1" s="9" t="s">
        <v>45</v>
      </c>
      <c r="L1" s="9" t="s">
        <v>46</v>
      </c>
      <c r="M1" s="9" t="s">
        <v>47</v>
      </c>
      <c r="N1" s="9" t="s">
        <v>48</v>
      </c>
      <c r="O1" s="9" t="s">
        <v>49</v>
      </c>
    </row>
    <row r="2" spans="1:15" ht="38" x14ac:dyDescent="0.25">
      <c r="A2" s="11" t="s">
        <v>50</v>
      </c>
      <c r="B2" s="12" t="s">
        <v>51</v>
      </c>
      <c r="C2" s="12" t="s">
        <v>52</v>
      </c>
      <c r="D2" s="12" t="s">
        <v>53</v>
      </c>
      <c r="E2" s="13" t="s">
        <v>54</v>
      </c>
      <c r="F2" s="14" t="s">
        <v>41</v>
      </c>
      <c r="G2" s="15" t="s">
        <v>55</v>
      </c>
      <c r="H2" s="15" t="s">
        <v>55</v>
      </c>
      <c r="I2" s="15" t="s">
        <v>55</v>
      </c>
      <c r="J2" s="15"/>
      <c r="K2" s="15"/>
      <c r="L2" s="15"/>
      <c r="M2" s="15"/>
      <c r="N2" s="15"/>
      <c r="O2" s="12"/>
    </row>
    <row r="3" spans="1:15" ht="57" x14ac:dyDescent="0.25">
      <c r="A3" s="11" t="s">
        <v>56</v>
      </c>
      <c r="B3" s="12" t="s">
        <v>51</v>
      </c>
      <c r="C3" s="12" t="s">
        <v>52</v>
      </c>
      <c r="D3" s="12" t="s">
        <v>57</v>
      </c>
      <c r="E3" s="13" t="s">
        <v>54</v>
      </c>
      <c r="F3" s="16" t="s">
        <v>42</v>
      </c>
      <c r="G3" s="15"/>
      <c r="H3" s="15" t="s">
        <v>55</v>
      </c>
      <c r="I3" s="15" t="s">
        <v>55</v>
      </c>
      <c r="J3" s="15"/>
      <c r="K3" s="15"/>
      <c r="L3" s="15"/>
      <c r="M3" s="15"/>
      <c r="N3" s="15"/>
      <c r="O3" s="12"/>
    </row>
    <row r="4" spans="1:15" ht="38" x14ac:dyDescent="0.25">
      <c r="A4" s="11" t="s">
        <v>58</v>
      </c>
      <c r="B4" s="12" t="s">
        <v>51</v>
      </c>
      <c r="C4" s="12" t="s">
        <v>52</v>
      </c>
      <c r="D4" s="12" t="s">
        <v>59</v>
      </c>
      <c r="E4" s="13" t="s">
        <v>54</v>
      </c>
      <c r="F4" s="16" t="s">
        <v>42</v>
      </c>
      <c r="G4" s="15"/>
      <c r="H4" s="15" t="s">
        <v>55</v>
      </c>
      <c r="I4" s="15" t="s">
        <v>55</v>
      </c>
      <c r="J4" s="15"/>
      <c r="K4" s="15"/>
      <c r="L4" s="15"/>
      <c r="M4" s="15"/>
      <c r="N4" s="15"/>
      <c r="O4" s="12"/>
    </row>
    <row r="5" spans="1:15" ht="38" x14ac:dyDescent="0.25">
      <c r="A5" s="11" t="s">
        <v>60</v>
      </c>
      <c r="B5" s="12" t="s">
        <v>51</v>
      </c>
      <c r="C5" s="12" t="s">
        <v>61</v>
      </c>
      <c r="D5" s="12" t="s">
        <v>62</v>
      </c>
      <c r="E5" s="17" t="s">
        <v>63</v>
      </c>
      <c r="F5" s="14" t="s">
        <v>41</v>
      </c>
      <c r="G5" s="15" t="s">
        <v>55</v>
      </c>
      <c r="H5" s="15" t="s">
        <v>55</v>
      </c>
      <c r="I5" s="15" t="s">
        <v>55</v>
      </c>
      <c r="J5" s="15"/>
      <c r="K5" s="15"/>
      <c r="L5" s="15"/>
      <c r="M5" s="15"/>
      <c r="N5" s="15"/>
      <c r="O5" s="12"/>
    </row>
    <row r="6" spans="1:15" ht="57" x14ac:dyDescent="0.25">
      <c r="A6" s="11" t="s">
        <v>64</v>
      </c>
      <c r="B6" s="12" t="s">
        <v>51</v>
      </c>
      <c r="C6" s="12" t="s">
        <v>61</v>
      </c>
      <c r="D6" s="12" t="s">
        <v>65</v>
      </c>
      <c r="E6" s="17" t="s">
        <v>63</v>
      </c>
      <c r="F6" s="16" t="s">
        <v>42</v>
      </c>
      <c r="G6" s="15"/>
      <c r="H6" s="15" t="s">
        <v>55</v>
      </c>
      <c r="I6" s="15" t="s">
        <v>55</v>
      </c>
      <c r="J6" s="15"/>
      <c r="K6" s="15"/>
      <c r="L6" s="15"/>
      <c r="M6" s="15"/>
      <c r="N6" s="15"/>
      <c r="O6" s="12"/>
    </row>
    <row r="7" spans="1:15" ht="38" x14ac:dyDescent="0.25">
      <c r="A7" s="11" t="s">
        <v>66</v>
      </c>
      <c r="B7" s="12" t="s">
        <v>51</v>
      </c>
      <c r="C7" s="12" t="s">
        <v>61</v>
      </c>
      <c r="D7" s="12" t="s">
        <v>67</v>
      </c>
      <c r="E7" s="17" t="s">
        <v>63</v>
      </c>
      <c r="F7" s="16" t="s">
        <v>42</v>
      </c>
      <c r="G7" s="15"/>
      <c r="H7" s="15" t="s">
        <v>55</v>
      </c>
      <c r="I7" s="15" t="s">
        <v>55</v>
      </c>
      <c r="J7" s="15"/>
      <c r="K7" s="15"/>
      <c r="L7" s="15"/>
      <c r="M7" s="15"/>
      <c r="N7" s="15"/>
      <c r="O7" s="12"/>
    </row>
    <row r="8" spans="1:15" ht="57" x14ac:dyDescent="0.25">
      <c r="A8" s="11" t="s">
        <v>68</v>
      </c>
      <c r="B8" s="12" t="s">
        <v>51</v>
      </c>
      <c r="C8" s="12" t="s">
        <v>61</v>
      </c>
      <c r="D8" s="12" t="s">
        <v>69</v>
      </c>
      <c r="E8" s="17" t="s">
        <v>63</v>
      </c>
      <c r="F8" s="16" t="s">
        <v>42</v>
      </c>
      <c r="G8" s="15"/>
      <c r="H8" s="15" t="s">
        <v>55</v>
      </c>
      <c r="I8" s="15" t="s">
        <v>55</v>
      </c>
      <c r="J8" s="15"/>
      <c r="K8" s="15"/>
      <c r="L8" s="15"/>
      <c r="M8" s="15"/>
      <c r="N8" s="15"/>
      <c r="O8" s="12"/>
    </row>
    <row r="9" spans="1:15" ht="38" x14ac:dyDescent="0.25">
      <c r="A9" s="11" t="s">
        <v>70</v>
      </c>
      <c r="B9" s="12" t="s">
        <v>51</v>
      </c>
      <c r="C9" s="12" t="s">
        <v>71</v>
      </c>
      <c r="D9" s="12" t="s">
        <v>72</v>
      </c>
      <c r="E9" s="13" t="s">
        <v>54</v>
      </c>
      <c r="F9" s="16" t="s">
        <v>42</v>
      </c>
      <c r="G9" s="15"/>
      <c r="H9" s="15" t="s">
        <v>55</v>
      </c>
      <c r="I9" s="15" t="s">
        <v>55</v>
      </c>
      <c r="J9" s="15"/>
      <c r="K9" s="15"/>
      <c r="L9" s="15"/>
      <c r="M9" s="15"/>
      <c r="N9" s="15"/>
      <c r="O9" s="12"/>
    </row>
    <row r="10" spans="1:15" ht="38" x14ac:dyDescent="0.25">
      <c r="A10" s="11" t="s">
        <v>73</v>
      </c>
      <c r="B10" s="12" t="s">
        <v>51</v>
      </c>
      <c r="C10" s="12" t="s">
        <v>71</v>
      </c>
      <c r="D10" s="12" t="s">
        <v>74</v>
      </c>
      <c r="E10" s="13" t="s">
        <v>54</v>
      </c>
      <c r="F10" s="16" t="s">
        <v>42</v>
      </c>
      <c r="G10" s="15"/>
      <c r="H10" s="15" t="s">
        <v>55</v>
      </c>
      <c r="I10" s="15" t="s">
        <v>55</v>
      </c>
      <c r="J10" s="15"/>
      <c r="K10" s="15"/>
      <c r="L10" s="15"/>
      <c r="M10" s="15"/>
      <c r="N10" s="15"/>
      <c r="O10" s="12"/>
    </row>
    <row r="11" spans="1:15" ht="38" x14ac:dyDescent="0.25">
      <c r="A11" s="11" t="s">
        <v>75</v>
      </c>
      <c r="B11" s="12" t="s">
        <v>51</v>
      </c>
      <c r="C11" s="12" t="s">
        <v>71</v>
      </c>
      <c r="D11" s="12" t="s">
        <v>76</v>
      </c>
      <c r="E11" s="13" t="s">
        <v>54</v>
      </c>
      <c r="F11" s="18" t="s">
        <v>43</v>
      </c>
      <c r="G11" s="15"/>
      <c r="H11" s="15"/>
      <c r="I11" s="15" t="s">
        <v>55</v>
      </c>
      <c r="J11" s="15"/>
      <c r="K11" s="15"/>
      <c r="L11" s="15"/>
      <c r="M11" s="15"/>
      <c r="N11" s="15"/>
      <c r="O11" s="12"/>
    </row>
    <row r="12" spans="1:15" ht="57" x14ac:dyDescent="0.25">
      <c r="A12" s="11" t="s">
        <v>77</v>
      </c>
      <c r="B12" s="12" t="s">
        <v>51</v>
      </c>
      <c r="C12" s="12" t="s">
        <v>78</v>
      </c>
      <c r="D12" s="12" t="s">
        <v>79</v>
      </c>
      <c r="E12" s="13" t="s">
        <v>54</v>
      </c>
      <c r="F12" s="16" t="s">
        <v>42</v>
      </c>
      <c r="G12" s="15"/>
      <c r="H12" s="15" t="s">
        <v>55</v>
      </c>
      <c r="I12" s="15" t="s">
        <v>55</v>
      </c>
      <c r="J12" s="15"/>
      <c r="K12" s="15"/>
      <c r="L12" s="15"/>
      <c r="M12" s="15"/>
      <c r="N12" s="15"/>
      <c r="O12" s="12"/>
    </row>
    <row r="13" spans="1:15" ht="38" x14ac:dyDescent="0.25">
      <c r="A13" s="11" t="s">
        <v>80</v>
      </c>
      <c r="B13" s="12" t="s">
        <v>51</v>
      </c>
      <c r="C13" s="12" t="s">
        <v>78</v>
      </c>
      <c r="D13" s="12" t="s">
        <v>81</v>
      </c>
      <c r="E13" s="13" t="s">
        <v>54</v>
      </c>
      <c r="F13" s="18" t="s">
        <v>43</v>
      </c>
      <c r="G13" s="15"/>
      <c r="H13" s="15"/>
      <c r="I13" s="15" t="s">
        <v>55</v>
      </c>
      <c r="J13" s="15"/>
      <c r="K13" s="15"/>
      <c r="L13" s="15"/>
      <c r="M13" s="15"/>
      <c r="N13" s="15"/>
      <c r="O13" s="12"/>
    </row>
    <row r="14" spans="1:15" ht="38" x14ac:dyDescent="0.25">
      <c r="A14" s="11" t="s">
        <v>82</v>
      </c>
      <c r="B14" s="12" t="s">
        <v>83</v>
      </c>
      <c r="C14" s="12" t="s">
        <v>84</v>
      </c>
      <c r="D14" s="12" t="s">
        <v>85</v>
      </c>
      <c r="E14" s="19" t="s">
        <v>86</v>
      </c>
      <c r="F14" s="14" t="s">
        <v>41</v>
      </c>
      <c r="G14" s="15" t="s">
        <v>55</v>
      </c>
      <c r="H14" s="15" t="s">
        <v>55</v>
      </c>
      <c r="I14" s="15" t="s">
        <v>55</v>
      </c>
      <c r="J14" s="15"/>
      <c r="K14" s="15"/>
      <c r="L14" s="15"/>
      <c r="M14" s="15"/>
      <c r="N14" s="15"/>
      <c r="O14" s="12"/>
    </row>
    <row r="15" spans="1:15" ht="38" x14ac:dyDescent="0.25">
      <c r="A15" s="11" t="s">
        <v>87</v>
      </c>
      <c r="B15" s="12" t="s">
        <v>83</v>
      </c>
      <c r="C15" s="12" t="s">
        <v>84</v>
      </c>
      <c r="D15" s="12" t="s">
        <v>88</v>
      </c>
      <c r="E15" s="19" t="s">
        <v>86</v>
      </c>
      <c r="F15" s="16" t="s">
        <v>42</v>
      </c>
      <c r="G15" s="15"/>
      <c r="H15" s="15" t="s">
        <v>55</v>
      </c>
      <c r="I15" s="15" t="s">
        <v>55</v>
      </c>
      <c r="J15" s="15"/>
      <c r="K15" s="15"/>
      <c r="L15" s="15"/>
      <c r="M15" s="15"/>
      <c r="N15" s="15"/>
      <c r="O15" s="12"/>
    </row>
    <row r="16" spans="1:15" ht="38" x14ac:dyDescent="0.25">
      <c r="A16" s="11" t="s">
        <v>89</v>
      </c>
      <c r="B16" s="12" t="s">
        <v>83</v>
      </c>
      <c r="C16" s="12" t="s">
        <v>84</v>
      </c>
      <c r="D16" s="12" t="s">
        <v>90</v>
      </c>
      <c r="E16" s="19" t="s">
        <v>86</v>
      </c>
      <c r="F16" s="18" t="s">
        <v>43</v>
      </c>
      <c r="G16" s="15"/>
      <c r="H16" s="15"/>
      <c r="I16" s="15" t="s">
        <v>55</v>
      </c>
      <c r="J16" s="15"/>
      <c r="K16" s="15"/>
      <c r="L16" s="15"/>
      <c r="M16" s="15"/>
      <c r="N16" s="15"/>
      <c r="O16" s="12"/>
    </row>
    <row r="17" spans="1:15" ht="38" x14ac:dyDescent="0.25">
      <c r="A17" s="11" t="s">
        <v>91</v>
      </c>
      <c r="B17" s="12" t="s">
        <v>83</v>
      </c>
      <c r="C17" s="12" t="s">
        <v>92</v>
      </c>
      <c r="D17" s="12" t="s">
        <v>93</v>
      </c>
      <c r="E17" s="19" t="s">
        <v>86</v>
      </c>
      <c r="F17" s="14" t="s">
        <v>41</v>
      </c>
      <c r="G17" s="15" t="s">
        <v>55</v>
      </c>
      <c r="H17" s="15" t="s">
        <v>55</v>
      </c>
      <c r="I17" s="15" t="s">
        <v>55</v>
      </c>
      <c r="J17" s="15"/>
      <c r="K17" s="15"/>
      <c r="L17" s="15"/>
      <c r="M17" s="15"/>
      <c r="N17" s="15"/>
      <c r="O17" s="12"/>
    </row>
    <row r="18" spans="1:15" ht="38" x14ac:dyDescent="0.25">
      <c r="A18" s="11" t="s">
        <v>94</v>
      </c>
      <c r="B18" s="12" t="s">
        <v>83</v>
      </c>
      <c r="C18" s="12" t="s">
        <v>92</v>
      </c>
      <c r="D18" s="12" t="s">
        <v>95</v>
      </c>
      <c r="E18" s="19" t="s">
        <v>86</v>
      </c>
      <c r="F18" s="16" t="s">
        <v>42</v>
      </c>
      <c r="G18" s="15"/>
      <c r="H18" s="15" t="s">
        <v>55</v>
      </c>
      <c r="I18" s="15" t="s">
        <v>55</v>
      </c>
      <c r="J18" s="15"/>
      <c r="K18" s="15"/>
      <c r="L18" s="15"/>
      <c r="M18" s="15"/>
      <c r="N18" s="15"/>
      <c r="O18" s="12"/>
    </row>
    <row r="19" spans="1:15" ht="38" x14ac:dyDescent="0.25">
      <c r="A19" s="11" t="s">
        <v>96</v>
      </c>
      <c r="B19" s="12" t="s">
        <v>83</v>
      </c>
      <c r="C19" s="12" t="s">
        <v>92</v>
      </c>
      <c r="D19" s="12" t="s">
        <v>97</v>
      </c>
      <c r="E19" s="19" t="s">
        <v>86</v>
      </c>
      <c r="F19" s="16" t="s">
        <v>42</v>
      </c>
      <c r="G19" s="15"/>
      <c r="H19" s="15" t="s">
        <v>55</v>
      </c>
      <c r="I19" s="15" t="s">
        <v>55</v>
      </c>
      <c r="J19" s="15"/>
      <c r="K19" s="15"/>
      <c r="L19" s="15"/>
      <c r="M19" s="15"/>
      <c r="N19" s="15"/>
      <c r="O19" s="12"/>
    </row>
    <row r="20" spans="1:15" ht="38" x14ac:dyDescent="0.25">
      <c r="A20" s="11" t="s">
        <v>98</v>
      </c>
      <c r="B20" s="12" t="s">
        <v>83</v>
      </c>
      <c r="C20" s="12" t="s">
        <v>92</v>
      </c>
      <c r="D20" s="12" t="s">
        <v>99</v>
      </c>
      <c r="E20" s="19" t="s">
        <v>86</v>
      </c>
      <c r="F20" s="18" t="s">
        <v>43</v>
      </c>
      <c r="G20" s="15"/>
      <c r="H20" s="15"/>
      <c r="I20" s="15" t="s">
        <v>55</v>
      </c>
      <c r="J20" s="15"/>
      <c r="K20" s="15"/>
      <c r="L20" s="15"/>
      <c r="M20" s="15"/>
      <c r="N20" s="15"/>
      <c r="O20" s="12"/>
    </row>
    <row r="21" spans="1:15" ht="38" x14ac:dyDescent="0.25">
      <c r="A21" s="11" t="s">
        <v>100</v>
      </c>
      <c r="B21" s="12" t="s">
        <v>83</v>
      </c>
      <c r="C21" s="12" t="s">
        <v>101</v>
      </c>
      <c r="D21" s="12" t="s">
        <v>102</v>
      </c>
      <c r="E21" s="19" t="s">
        <v>86</v>
      </c>
      <c r="F21" s="14" t="s">
        <v>41</v>
      </c>
      <c r="G21" s="15" t="s">
        <v>55</v>
      </c>
      <c r="H21" s="15" t="s">
        <v>55</v>
      </c>
      <c r="I21" s="15" t="s">
        <v>55</v>
      </c>
      <c r="J21" s="15"/>
      <c r="K21" s="15"/>
      <c r="L21" s="15"/>
      <c r="M21" s="15"/>
      <c r="N21" s="15"/>
      <c r="O21" s="12"/>
    </row>
    <row r="22" spans="1:15" ht="38" x14ac:dyDescent="0.25">
      <c r="A22" s="11" t="s">
        <v>103</v>
      </c>
      <c r="B22" s="12" t="s">
        <v>83</v>
      </c>
      <c r="C22" s="12" t="s">
        <v>101</v>
      </c>
      <c r="D22" s="12" t="s">
        <v>104</v>
      </c>
      <c r="E22" s="19" t="s">
        <v>86</v>
      </c>
      <c r="F22" s="16" t="s">
        <v>42</v>
      </c>
      <c r="G22" s="15"/>
      <c r="H22" s="15" t="s">
        <v>55</v>
      </c>
      <c r="I22" s="15" t="s">
        <v>55</v>
      </c>
      <c r="J22" s="15"/>
      <c r="K22" s="15"/>
      <c r="L22" s="15"/>
      <c r="M22" s="15"/>
      <c r="N22" s="15"/>
      <c r="O22" s="12"/>
    </row>
    <row r="23" spans="1:15" ht="38" x14ac:dyDescent="0.25">
      <c r="A23" s="11" t="s">
        <v>105</v>
      </c>
      <c r="B23" s="12" t="s">
        <v>83</v>
      </c>
      <c r="C23" s="12" t="s">
        <v>101</v>
      </c>
      <c r="D23" s="12" t="s">
        <v>106</v>
      </c>
      <c r="E23" s="19" t="s">
        <v>86</v>
      </c>
      <c r="F23" s="16" t="s">
        <v>42</v>
      </c>
      <c r="G23" s="15"/>
      <c r="H23" s="15" t="s">
        <v>55</v>
      </c>
      <c r="I23" s="15" t="s">
        <v>55</v>
      </c>
      <c r="J23" s="15"/>
      <c r="K23" s="15"/>
      <c r="L23" s="15"/>
      <c r="M23" s="15"/>
      <c r="N23" s="15"/>
      <c r="O23" s="12"/>
    </row>
    <row r="24" spans="1:15" ht="38" x14ac:dyDescent="0.25">
      <c r="A24" s="11" t="s">
        <v>107</v>
      </c>
      <c r="B24" s="12" t="s">
        <v>83</v>
      </c>
      <c r="C24" s="12" t="s">
        <v>101</v>
      </c>
      <c r="D24" s="12" t="s">
        <v>108</v>
      </c>
      <c r="E24" s="13" t="s">
        <v>54</v>
      </c>
      <c r="F24" s="16" t="s">
        <v>42</v>
      </c>
      <c r="G24" s="15"/>
      <c r="H24" s="15" t="s">
        <v>55</v>
      </c>
      <c r="I24" s="15" t="s">
        <v>55</v>
      </c>
      <c r="J24" s="15"/>
      <c r="K24" s="15"/>
      <c r="L24" s="15"/>
      <c r="M24" s="15"/>
      <c r="N24" s="15"/>
      <c r="O24" s="12"/>
    </row>
    <row r="25" spans="1:15" ht="38" x14ac:dyDescent="0.25">
      <c r="A25" s="11" t="s">
        <v>109</v>
      </c>
      <c r="B25" s="12" t="s">
        <v>83</v>
      </c>
      <c r="C25" s="12" t="s">
        <v>101</v>
      </c>
      <c r="D25" s="12" t="s">
        <v>110</v>
      </c>
      <c r="E25" s="19" t="s">
        <v>86</v>
      </c>
      <c r="F25" s="18" t="s">
        <v>43</v>
      </c>
      <c r="G25" s="15"/>
      <c r="H25" s="15"/>
      <c r="I25" s="15" t="s">
        <v>55</v>
      </c>
      <c r="J25" s="15"/>
      <c r="K25" s="15"/>
      <c r="L25" s="15"/>
      <c r="M25" s="15"/>
      <c r="N25" s="15"/>
      <c r="O25" s="12"/>
    </row>
    <row r="26" spans="1:15" ht="57" x14ac:dyDescent="0.25">
      <c r="A26" s="11" t="s">
        <v>111</v>
      </c>
      <c r="B26" s="12" t="s">
        <v>83</v>
      </c>
      <c r="C26" s="12" t="s">
        <v>112</v>
      </c>
      <c r="D26" s="12" t="s">
        <v>113</v>
      </c>
      <c r="E26" s="19" t="s">
        <v>86</v>
      </c>
      <c r="F26" s="16" t="s">
        <v>42</v>
      </c>
      <c r="G26" s="15"/>
      <c r="H26" s="15" t="s">
        <v>55</v>
      </c>
      <c r="I26" s="15" t="s">
        <v>55</v>
      </c>
      <c r="J26" s="15"/>
      <c r="K26" s="15"/>
      <c r="L26" s="15"/>
      <c r="M26" s="15"/>
      <c r="N26" s="15"/>
      <c r="O26" s="12"/>
    </row>
    <row r="27" spans="1:15" ht="38" x14ac:dyDescent="0.25">
      <c r="A27" s="11" t="s">
        <v>114</v>
      </c>
      <c r="B27" s="12" t="s">
        <v>83</v>
      </c>
      <c r="C27" s="12" t="s">
        <v>112</v>
      </c>
      <c r="D27" s="12" t="s">
        <v>115</v>
      </c>
      <c r="E27" s="19" t="s">
        <v>86</v>
      </c>
      <c r="F27" s="16" t="s">
        <v>42</v>
      </c>
      <c r="G27" s="15"/>
      <c r="H27" s="15" t="s">
        <v>55</v>
      </c>
      <c r="I27" s="15" t="s">
        <v>55</v>
      </c>
      <c r="J27" s="15"/>
      <c r="K27" s="15"/>
      <c r="L27" s="15"/>
      <c r="M27" s="15"/>
      <c r="N27" s="15"/>
      <c r="O27" s="12"/>
    </row>
    <row r="28" spans="1:15" ht="38" x14ac:dyDescent="0.25">
      <c r="A28" s="11" t="s">
        <v>116</v>
      </c>
      <c r="B28" s="12" t="s">
        <v>83</v>
      </c>
      <c r="C28" s="12" t="s">
        <v>112</v>
      </c>
      <c r="D28" s="12" t="s">
        <v>117</v>
      </c>
      <c r="E28" s="19" t="s">
        <v>86</v>
      </c>
      <c r="F28" s="18" t="s">
        <v>43</v>
      </c>
      <c r="G28" s="15"/>
      <c r="H28" s="15"/>
      <c r="I28" s="15" t="s">
        <v>55</v>
      </c>
      <c r="J28" s="15"/>
      <c r="K28" s="15"/>
      <c r="L28" s="15"/>
      <c r="M28" s="15"/>
      <c r="N28" s="15"/>
      <c r="O28" s="12"/>
    </row>
    <row r="29" spans="1:15" ht="38" x14ac:dyDescent="0.25">
      <c r="A29" s="11" t="s">
        <v>118</v>
      </c>
      <c r="B29" s="12" t="s">
        <v>83</v>
      </c>
      <c r="C29" s="12" t="s">
        <v>119</v>
      </c>
      <c r="D29" s="12" t="s">
        <v>120</v>
      </c>
      <c r="E29" s="19" t="s">
        <v>86</v>
      </c>
      <c r="F29" s="16" t="s">
        <v>42</v>
      </c>
      <c r="G29" s="15"/>
      <c r="H29" s="15" t="s">
        <v>55</v>
      </c>
      <c r="I29" s="15" t="s">
        <v>55</v>
      </c>
      <c r="J29" s="15"/>
      <c r="K29" s="15"/>
      <c r="L29" s="15"/>
      <c r="M29" s="15"/>
      <c r="N29" s="15"/>
      <c r="O29" s="12"/>
    </row>
    <row r="30" spans="1:15" ht="38" x14ac:dyDescent="0.25">
      <c r="A30" s="11" t="s">
        <v>121</v>
      </c>
      <c r="B30" s="12" t="s">
        <v>83</v>
      </c>
      <c r="C30" s="12" t="s">
        <v>119</v>
      </c>
      <c r="D30" s="12" t="s">
        <v>122</v>
      </c>
      <c r="E30" s="19" t="s">
        <v>86</v>
      </c>
      <c r="F30" s="16" t="s">
        <v>42</v>
      </c>
      <c r="G30" s="15"/>
      <c r="H30" s="15" t="s">
        <v>55</v>
      </c>
      <c r="I30" s="15" t="s">
        <v>55</v>
      </c>
      <c r="J30" s="15"/>
      <c r="K30" s="15"/>
      <c r="L30" s="15"/>
      <c r="M30" s="15"/>
      <c r="N30" s="15"/>
      <c r="O30" s="12"/>
    </row>
    <row r="31" spans="1:15" ht="57" x14ac:dyDescent="0.25">
      <c r="A31" s="11" t="s">
        <v>123</v>
      </c>
      <c r="B31" s="12" t="s">
        <v>83</v>
      </c>
      <c r="C31" s="12" t="s">
        <v>119</v>
      </c>
      <c r="D31" s="12" t="s">
        <v>124</v>
      </c>
      <c r="E31" s="19" t="s">
        <v>86</v>
      </c>
      <c r="F31" s="18" t="s">
        <v>43</v>
      </c>
      <c r="G31" s="15"/>
      <c r="H31" s="15"/>
      <c r="I31" s="15" t="s">
        <v>55</v>
      </c>
      <c r="J31" s="15"/>
      <c r="K31" s="15"/>
      <c r="L31" s="15"/>
      <c r="M31" s="15"/>
      <c r="N31" s="15"/>
      <c r="O31" s="12"/>
    </row>
    <row r="32" spans="1:15" ht="38" x14ac:dyDescent="0.25">
      <c r="A32" s="11" t="s">
        <v>125</v>
      </c>
      <c r="B32" s="12" t="s">
        <v>126</v>
      </c>
      <c r="C32" s="12" t="s">
        <v>127</v>
      </c>
      <c r="D32" s="12" t="s">
        <v>128</v>
      </c>
      <c r="E32" s="19" t="s">
        <v>86</v>
      </c>
      <c r="F32" s="14" t="s">
        <v>41</v>
      </c>
      <c r="G32" s="15" t="s">
        <v>55</v>
      </c>
      <c r="H32" s="15" t="s">
        <v>55</v>
      </c>
      <c r="I32" s="15" t="s">
        <v>55</v>
      </c>
      <c r="J32" s="15"/>
      <c r="K32" s="15"/>
      <c r="L32" s="15"/>
      <c r="M32" s="15"/>
      <c r="N32" s="15"/>
      <c r="O32" s="12"/>
    </row>
    <row r="33" spans="1:15" ht="38" x14ac:dyDescent="0.25">
      <c r="A33" s="11" t="s">
        <v>129</v>
      </c>
      <c r="B33" s="12" t="s">
        <v>126</v>
      </c>
      <c r="C33" s="12" t="s">
        <v>127</v>
      </c>
      <c r="D33" s="12" t="s">
        <v>130</v>
      </c>
      <c r="E33" s="19" t="s">
        <v>86</v>
      </c>
      <c r="F33" s="16" t="s">
        <v>42</v>
      </c>
      <c r="G33" s="15"/>
      <c r="H33" s="15" t="s">
        <v>55</v>
      </c>
      <c r="I33" s="15" t="s">
        <v>55</v>
      </c>
      <c r="J33" s="15"/>
      <c r="K33" s="15"/>
      <c r="L33" s="15"/>
      <c r="M33" s="15"/>
      <c r="N33" s="15"/>
      <c r="O33" s="12"/>
    </row>
    <row r="34" spans="1:15" ht="38" x14ac:dyDescent="0.25">
      <c r="A34" s="11" t="s">
        <v>131</v>
      </c>
      <c r="B34" s="12" t="s">
        <v>126</v>
      </c>
      <c r="C34" s="12" t="s">
        <v>127</v>
      </c>
      <c r="D34" s="12" t="s">
        <v>132</v>
      </c>
      <c r="E34" s="19" t="s">
        <v>86</v>
      </c>
      <c r="F34" s="18" t="s">
        <v>43</v>
      </c>
      <c r="G34" s="15"/>
      <c r="H34" s="15"/>
      <c r="I34" s="15" t="s">
        <v>55</v>
      </c>
      <c r="J34" s="15"/>
      <c r="K34" s="15"/>
      <c r="L34" s="15"/>
      <c r="M34" s="15"/>
      <c r="N34" s="15"/>
      <c r="O34" s="12"/>
    </row>
    <row r="35" spans="1:15" ht="57" x14ac:dyDescent="0.25">
      <c r="A35" s="11" t="s">
        <v>133</v>
      </c>
      <c r="B35" s="12" t="s">
        <v>126</v>
      </c>
      <c r="C35" s="12" t="s">
        <v>134</v>
      </c>
      <c r="D35" s="12" t="s">
        <v>135</v>
      </c>
      <c r="E35" s="13" t="s">
        <v>54</v>
      </c>
      <c r="F35" s="16" t="s">
        <v>42</v>
      </c>
      <c r="G35" s="15"/>
      <c r="H35" s="15" t="s">
        <v>55</v>
      </c>
      <c r="I35" s="15" t="s">
        <v>55</v>
      </c>
      <c r="J35" s="15"/>
      <c r="K35" s="15"/>
      <c r="L35" s="15"/>
      <c r="M35" s="15"/>
      <c r="N35" s="15"/>
      <c r="O35" s="12"/>
    </row>
    <row r="36" spans="1:15" ht="57" x14ac:dyDescent="0.25">
      <c r="A36" s="11" t="s">
        <v>136</v>
      </c>
      <c r="B36" s="12" t="s">
        <v>126</v>
      </c>
      <c r="C36" s="12" t="s">
        <v>134</v>
      </c>
      <c r="D36" s="12" t="s">
        <v>137</v>
      </c>
      <c r="E36" s="19" t="s">
        <v>86</v>
      </c>
      <c r="F36" s="16" t="s">
        <v>42</v>
      </c>
      <c r="G36" s="15"/>
      <c r="H36" s="15" t="s">
        <v>55</v>
      </c>
      <c r="I36" s="15" t="s">
        <v>55</v>
      </c>
      <c r="J36" s="15"/>
      <c r="K36" s="15"/>
      <c r="L36" s="15"/>
      <c r="M36" s="15"/>
      <c r="N36" s="15"/>
      <c r="O36" s="12"/>
    </row>
    <row r="37" spans="1:15" ht="38" x14ac:dyDescent="0.25">
      <c r="A37" s="11" t="s">
        <v>138</v>
      </c>
      <c r="B37" s="12" t="s">
        <v>126</v>
      </c>
      <c r="C37" s="12" t="s">
        <v>134</v>
      </c>
      <c r="D37" s="12" t="s">
        <v>139</v>
      </c>
      <c r="E37" s="19" t="s">
        <v>86</v>
      </c>
      <c r="F37" s="18" t="s">
        <v>43</v>
      </c>
      <c r="G37" s="15"/>
      <c r="H37" s="15"/>
      <c r="I37" s="15" t="s">
        <v>55</v>
      </c>
      <c r="J37" s="15"/>
      <c r="K37" s="15"/>
      <c r="L37" s="15"/>
      <c r="M37" s="15"/>
      <c r="N37" s="15"/>
      <c r="O37" s="12"/>
    </row>
    <row r="38" spans="1:15" ht="38" x14ac:dyDescent="0.25">
      <c r="A38" s="11" t="s">
        <v>140</v>
      </c>
      <c r="B38" s="12" t="s">
        <v>126</v>
      </c>
      <c r="C38" s="12" t="s">
        <v>141</v>
      </c>
      <c r="D38" s="12" t="s">
        <v>142</v>
      </c>
      <c r="E38" s="19" t="s">
        <v>86</v>
      </c>
      <c r="F38" s="16" t="s">
        <v>42</v>
      </c>
      <c r="G38" s="15"/>
      <c r="H38" s="15" t="s">
        <v>55</v>
      </c>
      <c r="I38" s="15" t="s">
        <v>55</v>
      </c>
      <c r="J38" s="15"/>
      <c r="K38" s="15"/>
      <c r="L38" s="15"/>
      <c r="M38" s="15"/>
      <c r="N38" s="15"/>
      <c r="O38" s="12"/>
    </row>
    <row r="39" spans="1:15" ht="38" x14ac:dyDescent="0.25">
      <c r="A39" s="11" t="s">
        <v>143</v>
      </c>
      <c r="B39" s="12" t="s">
        <v>126</v>
      </c>
      <c r="C39" s="12" t="s">
        <v>141</v>
      </c>
      <c r="D39" s="12" t="s">
        <v>144</v>
      </c>
      <c r="E39" s="19" t="s">
        <v>86</v>
      </c>
      <c r="F39" s="16" t="s">
        <v>42</v>
      </c>
      <c r="G39" s="15"/>
      <c r="H39" s="15" t="s">
        <v>55</v>
      </c>
      <c r="I39" s="15" t="s">
        <v>55</v>
      </c>
      <c r="J39" s="15"/>
      <c r="K39" s="15"/>
      <c r="L39" s="15"/>
      <c r="M39" s="15"/>
      <c r="N39" s="15"/>
      <c r="O39" s="12"/>
    </row>
    <row r="40" spans="1:15" ht="38" x14ac:dyDescent="0.25">
      <c r="A40" s="11" t="s">
        <v>145</v>
      </c>
      <c r="B40" s="12" t="s">
        <v>126</v>
      </c>
      <c r="C40" s="12" t="s">
        <v>141</v>
      </c>
      <c r="D40" s="12" t="s">
        <v>146</v>
      </c>
      <c r="E40" s="19" t="s">
        <v>86</v>
      </c>
      <c r="F40" s="16" t="s">
        <v>42</v>
      </c>
      <c r="G40" s="15"/>
      <c r="H40" s="15" t="s">
        <v>55</v>
      </c>
      <c r="I40" s="15" t="s">
        <v>55</v>
      </c>
      <c r="J40" s="15"/>
      <c r="K40" s="15"/>
      <c r="L40" s="15"/>
      <c r="M40" s="15"/>
      <c r="N40" s="15"/>
      <c r="O40" s="12"/>
    </row>
    <row r="41" spans="1:15" ht="38" x14ac:dyDescent="0.25">
      <c r="A41" s="11" t="s">
        <v>147</v>
      </c>
      <c r="B41" s="12" t="s">
        <v>126</v>
      </c>
      <c r="C41" s="12" t="s">
        <v>141</v>
      </c>
      <c r="D41" s="12" t="s">
        <v>148</v>
      </c>
      <c r="E41" s="19" t="s">
        <v>86</v>
      </c>
      <c r="F41" s="18" t="s">
        <v>43</v>
      </c>
      <c r="G41" s="15"/>
      <c r="H41" s="15"/>
      <c r="I41" s="15" t="s">
        <v>55</v>
      </c>
      <c r="J41" s="15"/>
      <c r="K41" s="15"/>
      <c r="L41" s="15"/>
      <c r="M41" s="15"/>
      <c r="N41" s="15"/>
      <c r="O41" s="12"/>
    </row>
    <row r="42" spans="1:15" ht="38" x14ac:dyDescent="0.25">
      <c r="A42" s="11" t="s">
        <v>149</v>
      </c>
      <c r="B42" s="12" t="s">
        <v>126</v>
      </c>
      <c r="C42" s="12" t="s">
        <v>150</v>
      </c>
      <c r="D42" s="12" t="s">
        <v>151</v>
      </c>
      <c r="E42" s="19" t="s">
        <v>86</v>
      </c>
      <c r="F42" s="16" t="s">
        <v>42</v>
      </c>
      <c r="G42" s="15"/>
      <c r="H42" s="15" t="s">
        <v>55</v>
      </c>
      <c r="I42" s="15" t="s">
        <v>55</v>
      </c>
      <c r="J42" s="15"/>
      <c r="K42" s="15"/>
      <c r="L42" s="15"/>
      <c r="M42" s="15"/>
      <c r="N42" s="15"/>
      <c r="O42" s="12"/>
    </row>
    <row r="43" spans="1:15" ht="38" x14ac:dyDescent="0.25">
      <c r="A43" s="11" t="s">
        <v>152</v>
      </c>
      <c r="B43" s="12" t="s">
        <v>126</v>
      </c>
      <c r="C43" s="12" t="s">
        <v>150</v>
      </c>
      <c r="D43" s="12" t="s">
        <v>153</v>
      </c>
      <c r="E43" s="13" t="s">
        <v>54</v>
      </c>
      <c r="F43" s="18" t="s">
        <v>43</v>
      </c>
      <c r="G43" s="15"/>
      <c r="H43" s="15"/>
      <c r="I43" s="15" t="s">
        <v>55</v>
      </c>
      <c r="J43" s="15"/>
      <c r="K43" s="15"/>
      <c r="L43" s="15"/>
      <c r="M43" s="15"/>
      <c r="N43" s="15"/>
      <c r="O43" s="12"/>
    </row>
    <row r="44" spans="1:15" ht="38" x14ac:dyDescent="0.25">
      <c r="A44" s="11" t="s">
        <v>154</v>
      </c>
      <c r="B44" s="12" t="s">
        <v>155</v>
      </c>
      <c r="C44" s="12" t="s">
        <v>156</v>
      </c>
      <c r="D44" s="12" t="s">
        <v>157</v>
      </c>
      <c r="E44" s="19" t="s">
        <v>86</v>
      </c>
      <c r="F44" s="14" t="s">
        <v>41</v>
      </c>
      <c r="G44" s="15" t="s">
        <v>55</v>
      </c>
      <c r="H44" s="15" t="s">
        <v>55</v>
      </c>
      <c r="I44" s="15" t="s">
        <v>55</v>
      </c>
      <c r="J44" s="15"/>
      <c r="K44" s="15"/>
      <c r="L44" s="15"/>
      <c r="M44" s="15"/>
      <c r="N44" s="15"/>
      <c r="O44" s="12"/>
    </row>
    <row r="45" spans="1:15" ht="38" x14ac:dyDescent="0.25">
      <c r="A45" s="11" t="s">
        <v>158</v>
      </c>
      <c r="B45" s="12" t="s">
        <v>155</v>
      </c>
      <c r="C45" s="12" t="s">
        <v>156</v>
      </c>
      <c r="D45" s="12" t="s">
        <v>159</v>
      </c>
      <c r="E45" s="19" t="s">
        <v>86</v>
      </c>
      <c r="F45" s="16" t="s">
        <v>42</v>
      </c>
      <c r="G45" s="15"/>
      <c r="H45" s="15" t="s">
        <v>55</v>
      </c>
      <c r="I45" s="15" t="s">
        <v>55</v>
      </c>
      <c r="J45" s="15"/>
      <c r="K45" s="15"/>
      <c r="L45" s="15"/>
      <c r="M45" s="15"/>
      <c r="N45" s="15"/>
      <c r="O45" s="12"/>
    </row>
    <row r="46" spans="1:15" ht="57" x14ac:dyDescent="0.25">
      <c r="A46" s="11" t="s">
        <v>160</v>
      </c>
      <c r="B46" s="12" t="s">
        <v>155</v>
      </c>
      <c r="C46" s="12" t="s">
        <v>156</v>
      </c>
      <c r="D46" s="12" t="s">
        <v>161</v>
      </c>
      <c r="E46" s="19" t="s">
        <v>86</v>
      </c>
      <c r="F46" s="18" t="s">
        <v>43</v>
      </c>
      <c r="G46" s="15"/>
      <c r="H46" s="15"/>
      <c r="I46" s="15" t="s">
        <v>55</v>
      </c>
      <c r="J46" s="15"/>
      <c r="K46" s="15"/>
      <c r="L46" s="15"/>
      <c r="M46" s="15"/>
      <c r="N46" s="15"/>
      <c r="O46" s="12"/>
    </row>
    <row r="47" spans="1:15" ht="38" x14ac:dyDescent="0.25">
      <c r="A47" s="11" t="s">
        <v>162</v>
      </c>
      <c r="B47" s="12" t="s">
        <v>155</v>
      </c>
      <c r="C47" s="12" t="s">
        <v>163</v>
      </c>
      <c r="D47" s="12" t="s">
        <v>164</v>
      </c>
      <c r="E47" s="19" t="s">
        <v>86</v>
      </c>
      <c r="F47" s="16" t="s">
        <v>42</v>
      </c>
      <c r="G47" s="15"/>
      <c r="H47" s="15" t="s">
        <v>55</v>
      </c>
      <c r="I47" s="15" t="s">
        <v>55</v>
      </c>
      <c r="J47" s="15"/>
      <c r="K47" s="15"/>
      <c r="L47" s="15"/>
      <c r="M47" s="15"/>
      <c r="N47" s="15"/>
      <c r="O47" s="12"/>
    </row>
    <row r="48" spans="1:15" ht="38" x14ac:dyDescent="0.25">
      <c r="A48" s="11" t="s">
        <v>165</v>
      </c>
      <c r="B48" s="12" t="s">
        <v>155</v>
      </c>
      <c r="C48" s="12" t="s">
        <v>163</v>
      </c>
      <c r="D48" s="12" t="s">
        <v>166</v>
      </c>
      <c r="E48" s="19" t="s">
        <v>86</v>
      </c>
      <c r="F48" s="16" t="s">
        <v>42</v>
      </c>
      <c r="G48" s="15"/>
      <c r="H48" s="15" t="s">
        <v>55</v>
      </c>
      <c r="I48" s="15" t="s">
        <v>55</v>
      </c>
      <c r="J48" s="15"/>
      <c r="K48" s="15"/>
      <c r="L48" s="15"/>
      <c r="M48" s="15"/>
      <c r="N48" s="15"/>
      <c r="O48" s="12"/>
    </row>
    <row r="49" spans="1:15" ht="57" x14ac:dyDescent="0.25">
      <c r="A49" s="11" t="s">
        <v>167</v>
      </c>
      <c r="B49" s="12" t="s">
        <v>155</v>
      </c>
      <c r="C49" s="12" t="s">
        <v>163</v>
      </c>
      <c r="D49" s="12" t="s">
        <v>168</v>
      </c>
      <c r="E49" s="19" t="s">
        <v>86</v>
      </c>
      <c r="F49" s="18" t="s">
        <v>43</v>
      </c>
      <c r="G49" s="15"/>
      <c r="H49" s="15"/>
      <c r="I49" s="15" t="s">
        <v>55</v>
      </c>
      <c r="J49" s="15"/>
      <c r="K49" s="15"/>
      <c r="L49" s="15"/>
      <c r="M49" s="15"/>
      <c r="N49" s="15"/>
      <c r="O49" s="12"/>
    </row>
    <row r="50" spans="1:15" ht="38" x14ac:dyDescent="0.25">
      <c r="A50" s="11" t="s">
        <v>169</v>
      </c>
      <c r="B50" s="12" t="s">
        <v>155</v>
      </c>
      <c r="C50" s="12" t="s">
        <v>163</v>
      </c>
      <c r="D50" s="12" t="s">
        <v>170</v>
      </c>
      <c r="E50" s="19" t="s">
        <v>86</v>
      </c>
      <c r="F50" s="18" t="s">
        <v>43</v>
      </c>
      <c r="G50" s="15"/>
      <c r="H50" s="15"/>
      <c r="I50" s="15" t="s">
        <v>55</v>
      </c>
      <c r="J50" s="15"/>
      <c r="K50" s="15"/>
      <c r="L50" s="15"/>
      <c r="M50" s="15"/>
      <c r="N50" s="15"/>
      <c r="O50" s="12"/>
    </row>
    <row r="51" spans="1:15" ht="38" x14ac:dyDescent="0.25">
      <c r="A51" s="11" t="s">
        <v>171</v>
      </c>
      <c r="B51" s="12" t="s">
        <v>155</v>
      </c>
      <c r="C51" s="12" t="s">
        <v>172</v>
      </c>
      <c r="D51" s="12" t="s">
        <v>173</v>
      </c>
      <c r="E51" s="19" t="s">
        <v>86</v>
      </c>
      <c r="F51" s="14" t="s">
        <v>41</v>
      </c>
      <c r="G51" s="15" t="s">
        <v>55</v>
      </c>
      <c r="H51" s="15" t="s">
        <v>55</v>
      </c>
      <c r="I51" s="15" t="s">
        <v>55</v>
      </c>
      <c r="J51" s="15"/>
      <c r="K51" s="15"/>
      <c r="L51" s="15"/>
      <c r="M51" s="15"/>
      <c r="N51" s="15"/>
      <c r="O51" s="12"/>
    </row>
    <row r="52" spans="1:15" ht="57" x14ac:dyDescent="0.25">
      <c r="A52" s="11" t="s">
        <v>174</v>
      </c>
      <c r="B52" s="12" t="s">
        <v>155</v>
      </c>
      <c r="C52" s="12" t="s">
        <v>172</v>
      </c>
      <c r="D52" s="12" t="s">
        <v>175</v>
      </c>
      <c r="E52" s="19" t="s">
        <v>86</v>
      </c>
      <c r="F52" s="16" t="s">
        <v>42</v>
      </c>
      <c r="G52" s="15"/>
      <c r="H52" s="15" t="s">
        <v>55</v>
      </c>
      <c r="I52" s="15" t="s">
        <v>55</v>
      </c>
      <c r="J52" s="15"/>
      <c r="K52" s="15"/>
      <c r="L52" s="15"/>
      <c r="M52" s="15"/>
      <c r="N52" s="15"/>
      <c r="O52" s="12"/>
    </row>
    <row r="53" spans="1:15" ht="38" x14ac:dyDescent="0.25">
      <c r="A53" s="11" t="s">
        <v>176</v>
      </c>
      <c r="B53" s="12" t="s">
        <v>155</v>
      </c>
      <c r="C53" s="12" t="s">
        <v>172</v>
      </c>
      <c r="D53" s="12" t="s">
        <v>177</v>
      </c>
      <c r="E53" s="19" t="s">
        <v>86</v>
      </c>
      <c r="F53" s="16" t="s">
        <v>42</v>
      </c>
      <c r="G53" s="15"/>
      <c r="H53" s="15" t="s">
        <v>55</v>
      </c>
      <c r="I53" s="15" t="s">
        <v>55</v>
      </c>
      <c r="J53" s="15"/>
      <c r="K53" s="15"/>
      <c r="L53" s="15"/>
      <c r="M53" s="15"/>
      <c r="N53" s="15"/>
      <c r="O53" s="12"/>
    </row>
    <row r="54" spans="1:15" ht="57" x14ac:dyDescent="0.25">
      <c r="A54" s="11" t="s">
        <v>178</v>
      </c>
      <c r="B54" s="12" t="s">
        <v>155</v>
      </c>
      <c r="C54" s="12" t="s">
        <v>172</v>
      </c>
      <c r="D54" s="12" t="s">
        <v>179</v>
      </c>
      <c r="E54" s="19" t="s">
        <v>86</v>
      </c>
      <c r="F54" s="18" t="s">
        <v>43</v>
      </c>
      <c r="G54" s="15"/>
      <c r="H54" s="15"/>
      <c r="I54" s="15" t="s">
        <v>55</v>
      </c>
      <c r="J54" s="15"/>
      <c r="K54" s="15"/>
      <c r="L54" s="15"/>
      <c r="M54" s="15"/>
      <c r="N54" s="15"/>
      <c r="O54" s="12"/>
    </row>
    <row r="55" spans="1:15" ht="38" x14ac:dyDescent="0.25">
      <c r="A55" s="11" t="s">
        <v>180</v>
      </c>
      <c r="B55" s="12" t="s">
        <v>155</v>
      </c>
      <c r="C55" s="12" t="s">
        <v>181</v>
      </c>
      <c r="D55" s="12" t="s">
        <v>182</v>
      </c>
      <c r="E55" s="19" t="s">
        <v>86</v>
      </c>
      <c r="F55" s="16" t="s">
        <v>42</v>
      </c>
      <c r="G55" s="15"/>
      <c r="H55" s="15" t="s">
        <v>55</v>
      </c>
      <c r="I55" s="15" t="s">
        <v>55</v>
      </c>
      <c r="J55" s="15"/>
      <c r="K55" s="15"/>
      <c r="L55" s="15"/>
      <c r="M55" s="15"/>
      <c r="N55" s="15"/>
      <c r="O55" s="12"/>
    </row>
    <row r="56" spans="1:15" ht="38" x14ac:dyDescent="0.25">
      <c r="A56" s="11" t="s">
        <v>183</v>
      </c>
      <c r="B56" s="12" t="s">
        <v>155</v>
      </c>
      <c r="C56" s="12" t="s">
        <v>181</v>
      </c>
      <c r="D56" s="12" t="s">
        <v>184</v>
      </c>
      <c r="E56" s="13" t="s">
        <v>54</v>
      </c>
      <c r="F56" s="16" t="s">
        <v>42</v>
      </c>
      <c r="G56" s="15"/>
      <c r="H56" s="15" t="s">
        <v>55</v>
      </c>
      <c r="I56" s="15" t="s">
        <v>55</v>
      </c>
      <c r="J56" s="15"/>
      <c r="K56" s="15"/>
      <c r="L56" s="15"/>
      <c r="M56" s="15"/>
      <c r="N56" s="15"/>
      <c r="O56" s="12"/>
    </row>
    <row r="57" spans="1:15" ht="38" x14ac:dyDescent="0.25">
      <c r="A57" s="11" t="s">
        <v>185</v>
      </c>
      <c r="B57" s="12" t="s">
        <v>186</v>
      </c>
      <c r="C57" s="12" t="s">
        <v>187</v>
      </c>
      <c r="D57" s="12" t="s">
        <v>188</v>
      </c>
      <c r="E57" s="19" t="s">
        <v>86</v>
      </c>
      <c r="F57" s="16" t="s">
        <v>42</v>
      </c>
      <c r="G57" s="15"/>
      <c r="H57" s="15" t="s">
        <v>55</v>
      </c>
      <c r="I57" s="15" t="s">
        <v>55</v>
      </c>
      <c r="J57" s="15"/>
      <c r="K57" s="15"/>
      <c r="L57" s="15"/>
      <c r="M57" s="15"/>
      <c r="N57" s="15"/>
      <c r="O57" s="12"/>
    </row>
    <row r="58" spans="1:15" ht="57" x14ac:dyDescent="0.25">
      <c r="A58" s="11" t="s">
        <v>189</v>
      </c>
      <c r="B58" s="12" t="s">
        <v>186</v>
      </c>
      <c r="C58" s="12" t="s">
        <v>187</v>
      </c>
      <c r="D58" s="12" t="s">
        <v>190</v>
      </c>
      <c r="E58" s="19" t="s">
        <v>86</v>
      </c>
      <c r="F58" s="16" t="s">
        <v>42</v>
      </c>
      <c r="G58" s="15"/>
      <c r="H58" s="15" t="s">
        <v>55</v>
      </c>
      <c r="I58" s="15" t="s">
        <v>55</v>
      </c>
      <c r="J58" s="15"/>
      <c r="K58" s="15"/>
      <c r="L58" s="15"/>
      <c r="M58" s="15"/>
      <c r="N58" s="15"/>
      <c r="O58" s="12"/>
    </row>
    <row r="59" spans="1:15" ht="57" x14ac:dyDescent="0.25">
      <c r="A59" s="11" t="s">
        <v>191</v>
      </c>
      <c r="B59" s="12" t="s">
        <v>186</v>
      </c>
      <c r="C59" s="12" t="s">
        <v>187</v>
      </c>
      <c r="D59" s="12" t="s">
        <v>192</v>
      </c>
      <c r="E59" s="19" t="s">
        <v>86</v>
      </c>
      <c r="F59" s="18" t="s">
        <v>43</v>
      </c>
      <c r="G59" s="15"/>
      <c r="H59" s="15"/>
      <c r="I59" s="15" t="s">
        <v>55</v>
      </c>
      <c r="J59" s="15"/>
      <c r="K59" s="15"/>
      <c r="L59" s="15"/>
      <c r="M59" s="15"/>
      <c r="N59" s="15"/>
      <c r="O59" s="12"/>
    </row>
    <row r="60" spans="1:15" ht="38" x14ac:dyDescent="0.25">
      <c r="A60" s="11" t="s">
        <v>193</v>
      </c>
      <c r="B60" s="12" t="s">
        <v>186</v>
      </c>
      <c r="C60" s="12" t="s">
        <v>194</v>
      </c>
      <c r="D60" s="12" t="s">
        <v>195</v>
      </c>
      <c r="E60" s="19" t="s">
        <v>86</v>
      </c>
      <c r="F60" s="18" t="s">
        <v>43</v>
      </c>
      <c r="G60" s="15"/>
      <c r="H60" s="15"/>
      <c r="I60" s="15" t="s">
        <v>55</v>
      </c>
      <c r="J60" s="15"/>
      <c r="K60" s="15"/>
      <c r="L60" s="15"/>
      <c r="M60" s="15"/>
      <c r="N60" s="15"/>
      <c r="O60" s="12"/>
    </row>
    <row r="61" spans="1:15" ht="38" x14ac:dyDescent="0.25">
      <c r="A61" s="11" t="s">
        <v>196</v>
      </c>
      <c r="B61" s="12" t="s">
        <v>186</v>
      </c>
      <c r="C61" s="12" t="s">
        <v>194</v>
      </c>
      <c r="D61" s="12" t="s">
        <v>197</v>
      </c>
      <c r="E61" s="19" t="s">
        <v>86</v>
      </c>
      <c r="F61" s="18" t="s">
        <v>43</v>
      </c>
      <c r="G61" s="15"/>
      <c r="H61" s="15"/>
      <c r="I61" s="15" t="s">
        <v>55</v>
      </c>
      <c r="J61" s="15"/>
      <c r="K61" s="15"/>
      <c r="L61" s="15"/>
      <c r="M61" s="15"/>
      <c r="N61" s="15"/>
      <c r="O61" s="12"/>
    </row>
    <row r="62" spans="1:15" ht="57" x14ac:dyDescent="0.25">
      <c r="A62" s="11" t="s">
        <v>198</v>
      </c>
      <c r="B62" s="12" t="s">
        <v>186</v>
      </c>
      <c r="C62" s="12" t="s">
        <v>199</v>
      </c>
      <c r="D62" s="12" t="s">
        <v>200</v>
      </c>
      <c r="E62" s="19" t="s">
        <v>86</v>
      </c>
      <c r="F62" s="16" t="s">
        <v>42</v>
      </c>
      <c r="G62" s="15"/>
      <c r="H62" s="15" t="s">
        <v>55</v>
      </c>
      <c r="I62" s="15" t="s">
        <v>55</v>
      </c>
      <c r="J62" s="15"/>
      <c r="K62" s="15"/>
      <c r="L62" s="15"/>
      <c r="M62" s="15"/>
      <c r="N62" s="15"/>
      <c r="O62" s="12"/>
    </row>
    <row r="63" spans="1:15" ht="38" x14ac:dyDescent="0.25">
      <c r="A63" s="11" t="s">
        <v>201</v>
      </c>
      <c r="B63" s="12" t="s">
        <v>186</v>
      </c>
      <c r="C63" s="12" t="s">
        <v>199</v>
      </c>
      <c r="D63" s="12" t="s">
        <v>202</v>
      </c>
      <c r="E63" s="13" t="s">
        <v>54</v>
      </c>
      <c r="F63" s="16" t="s">
        <v>42</v>
      </c>
      <c r="G63" s="15"/>
      <c r="H63" s="15" t="s">
        <v>55</v>
      </c>
      <c r="I63" s="15" t="s">
        <v>55</v>
      </c>
      <c r="J63" s="15"/>
      <c r="K63" s="15"/>
      <c r="L63" s="15"/>
      <c r="M63" s="15"/>
      <c r="N63" s="15"/>
      <c r="O63" s="12"/>
    </row>
    <row r="64" spans="1:15" ht="57" x14ac:dyDescent="0.25">
      <c r="A64" s="11" t="s">
        <v>203</v>
      </c>
      <c r="B64" s="12" t="s">
        <v>186</v>
      </c>
      <c r="C64" s="12" t="s">
        <v>204</v>
      </c>
      <c r="D64" s="12" t="s">
        <v>205</v>
      </c>
      <c r="E64" s="19" t="s">
        <v>86</v>
      </c>
      <c r="F64" s="16" t="s">
        <v>42</v>
      </c>
      <c r="G64" s="15"/>
      <c r="H64" s="15" t="s">
        <v>55</v>
      </c>
      <c r="I64" s="15" t="s">
        <v>55</v>
      </c>
      <c r="J64" s="15"/>
      <c r="K64" s="15"/>
      <c r="L64" s="15"/>
      <c r="M64" s="15"/>
      <c r="N64" s="15"/>
      <c r="O64" s="12"/>
    </row>
    <row r="65" spans="1:15" ht="38" x14ac:dyDescent="0.25">
      <c r="A65" s="11" t="s">
        <v>206</v>
      </c>
      <c r="B65" s="12" t="s">
        <v>186</v>
      </c>
      <c r="C65" s="12" t="s">
        <v>204</v>
      </c>
      <c r="D65" s="12" t="s">
        <v>207</v>
      </c>
      <c r="E65" s="19" t="s">
        <v>86</v>
      </c>
      <c r="F65" s="18" t="s">
        <v>43</v>
      </c>
      <c r="G65" s="15"/>
      <c r="H65" s="15"/>
      <c r="I65" s="15" t="s">
        <v>55</v>
      </c>
      <c r="J65" s="15"/>
      <c r="K65" s="15"/>
      <c r="L65" s="15"/>
      <c r="M65" s="15"/>
      <c r="N65" s="15"/>
      <c r="O65" s="12"/>
    </row>
    <row r="66" spans="1:15" ht="38" x14ac:dyDescent="0.25">
      <c r="A66" s="11" t="s">
        <v>208</v>
      </c>
      <c r="B66" s="12" t="s">
        <v>186</v>
      </c>
      <c r="C66" s="12" t="s">
        <v>209</v>
      </c>
      <c r="D66" s="12" t="s">
        <v>210</v>
      </c>
      <c r="E66" s="19" t="s">
        <v>86</v>
      </c>
      <c r="F66" s="16" t="s">
        <v>42</v>
      </c>
      <c r="G66" s="15"/>
      <c r="H66" s="15" t="s">
        <v>55</v>
      </c>
      <c r="I66" s="15" t="s">
        <v>55</v>
      </c>
      <c r="J66" s="15"/>
      <c r="K66" s="15"/>
      <c r="L66" s="15"/>
      <c r="M66" s="15"/>
      <c r="N66" s="15"/>
      <c r="O66" s="12"/>
    </row>
    <row r="67" spans="1:15" ht="57" x14ac:dyDescent="0.25">
      <c r="A67" s="11" t="s">
        <v>211</v>
      </c>
      <c r="B67" s="12" t="s">
        <v>186</v>
      </c>
      <c r="C67" s="12" t="s">
        <v>209</v>
      </c>
      <c r="D67" s="12" t="s">
        <v>212</v>
      </c>
      <c r="E67" s="19" t="s">
        <v>86</v>
      </c>
      <c r="F67" s="18" t="s">
        <v>43</v>
      </c>
      <c r="G67" s="15"/>
      <c r="H67" s="15"/>
      <c r="I67" s="15" t="s">
        <v>55</v>
      </c>
      <c r="J67" s="15"/>
      <c r="K67" s="15"/>
      <c r="L67" s="15"/>
      <c r="M67" s="15"/>
      <c r="N67" s="15"/>
      <c r="O67" s="12"/>
    </row>
    <row r="68" spans="1:15" ht="38" x14ac:dyDescent="0.25">
      <c r="A68" s="11" t="s">
        <v>213</v>
      </c>
      <c r="B68" s="12" t="s">
        <v>214</v>
      </c>
      <c r="C68" s="12" t="s">
        <v>215</v>
      </c>
      <c r="D68" s="12" t="s">
        <v>216</v>
      </c>
      <c r="E68" s="19" t="s">
        <v>86</v>
      </c>
      <c r="F68" s="14" t="s">
        <v>41</v>
      </c>
      <c r="G68" s="15" t="s">
        <v>55</v>
      </c>
      <c r="H68" s="15" t="s">
        <v>55</v>
      </c>
      <c r="I68" s="15" t="s">
        <v>55</v>
      </c>
      <c r="J68" s="15"/>
      <c r="K68" s="15"/>
      <c r="L68" s="15"/>
      <c r="M68" s="15"/>
      <c r="N68" s="15"/>
      <c r="O68" s="12"/>
    </row>
    <row r="69" spans="1:15" ht="38" x14ac:dyDescent="0.25">
      <c r="A69" s="11" t="s">
        <v>217</v>
      </c>
      <c r="B69" s="12" t="s">
        <v>214</v>
      </c>
      <c r="C69" s="12" t="s">
        <v>215</v>
      </c>
      <c r="D69" s="12" t="s">
        <v>218</v>
      </c>
      <c r="E69" s="19" t="s">
        <v>86</v>
      </c>
      <c r="F69" s="16" t="s">
        <v>42</v>
      </c>
      <c r="G69" s="15"/>
      <c r="H69" s="15" t="s">
        <v>55</v>
      </c>
      <c r="I69" s="15" t="s">
        <v>55</v>
      </c>
      <c r="J69" s="15"/>
      <c r="K69" s="15"/>
      <c r="L69" s="15"/>
      <c r="M69" s="15"/>
      <c r="N69" s="15"/>
      <c r="O69" s="12"/>
    </row>
    <row r="70" spans="1:15" ht="38" x14ac:dyDescent="0.25">
      <c r="A70" s="11" t="s">
        <v>219</v>
      </c>
      <c r="B70" s="12" t="s">
        <v>214</v>
      </c>
      <c r="C70" s="12" t="s">
        <v>215</v>
      </c>
      <c r="D70" s="12" t="s">
        <v>220</v>
      </c>
      <c r="E70" s="19" t="s">
        <v>86</v>
      </c>
      <c r="F70" s="16" t="s">
        <v>42</v>
      </c>
      <c r="G70" s="15"/>
      <c r="H70" s="15" t="s">
        <v>55</v>
      </c>
      <c r="I70" s="15" t="s">
        <v>55</v>
      </c>
      <c r="J70" s="15"/>
      <c r="K70" s="15"/>
      <c r="L70" s="15"/>
      <c r="M70" s="15"/>
      <c r="N70" s="15"/>
      <c r="O70" s="12"/>
    </row>
    <row r="71" spans="1:15" ht="38" x14ac:dyDescent="0.25">
      <c r="A71" s="11" t="s">
        <v>221</v>
      </c>
      <c r="B71" s="12" t="s">
        <v>214</v>
      </c>
      <c r="C71" s="12" t="s">
        <v>215</v>
      </c>
      <c r="D71" s="12" t="s">
        <v>222</v>
      </c>
      <c r="E71" s="19" t="s">
        <v>86</v>
      </c>
      <c r="F71" s="18" t="s">
        <v>43</v>
      </c>
      <c r="G71" s="15"/>
      <c r="H71" s="15"/>
      <c r="I71" s="15" t="s">
        <v>55</v>
      </c>
      <c r="J71" s="15"/>
      <c r="K71" s="15"/>
      <c r="L71" s="15"/>
      <c r="M71" s="15"/>
      <c r="N71" s="15"/>
      <c r="O71" s="12"/>
    </row>
    <row r="72" spans="1:15" ht="38" x14ac:dyDescent="0.25">
      <c r="A72" s="11" t="s">
        <v>223</v>
      </c>
      <c r="B72" s="12" t="s">
        <v>214</v>
      </c>
      <c r="C72" s="12" t="s">
        <v>224</v>
      </c>
      <c r="D72" s="12" t="s">
        <v>225</v>
      </c>
      <c r="E72" s="19" t="s">
        <v>86</v>
      </c>
      <c r="F72" s="14" t="s">
        <v>41</v>
      </c>
      <c r="G72" s="15" t="s">
        <v>55</v>
      </c>
      <c r="H72" s="15" t="s">
        <v>55</v>
      </c>
      <c r="I72" s="15" t="s">
        <v>55</v>
      </c>
      <c r="J72" s="15"/>
      <c r="K72" s="15"/>
      <c r="L72" s="15"/>
      <c r="M72" s="15"/>
      <c r="N72" s="15"/>
      <c r="O72" s="12"/>
    </row>
    <row r="73" spans="1:15" ht="38" x14ac:dyDescent="0.25">
      <c r="A73" s="11" t="s">
        <v>226</v>
      </c>
      <c r="B73" s="12" t="s">
        <v>214</v>
      </c>
      <c r="C73" s="12" t="s">
        <v>224</v>
      </c>
      <c r="D73" s="12" t="s">
        <v>227</v>
      </c>
      <c r="E73" s="19" t="s">
        <v>86</v>
      </c>
      <c r="F73" s="16" t="s">
        <v>42</v>
      </c>
      <c r="G73" s="15"/>
      <c r="H73" s="15" t="s">
        <v>55</v>
      </c>
      <c r="I73" s="15" t="s">
        <v>55</v>
      </c>
      <c r="J73" s="15"/>
      <c r="K73" s="15"/>
      <c r="L73" s="15"/>
      <c r="M73" s="15"/>
      <c r="N73" s="15"/>
      <c r="O73" s="12"/>
    </row>
    <row r="74" spans="1:15" ht="57" x14ac:dyDescent="0.25">
      <c r="A74" s="11" t="s">
        <v>228</v>
      </c>
      <c r="B74" s="12" t="s">
        <v>214</v>
      </c>
      <c r="C74" s="12" t="s">
        <v>224</v>
      </c>
      <c r="D74" s="12" t="s">
        <v>229</v>
      </c>
      <c r="E74" s="19" t="s">
        <v>86</v>
      </c>
      <c r="F74" s="16" t="s">
        <v>42</v>
      </c>
      <c r="G74" s="15"/>
      <c r="H74" s="15" t="s">
        <v>55</v>
      </c>
      <c r="I74" s="15" t="s">
        <v>55</v>
      </c>
      <c r="J74" s="15"/>
      <c r="K74" s="15"/>
      <c r="L74" s="15"/>
      <c r="M74" s="15"/>
      <c r="N74" s="15"/>
      <c r="O74" s="12"/>
    </row>
    <row r="75" spans="1:15" ht="57" x14ac:dyDescent="0.25">
      <c r="A75" s="11" t="s">
        <v>230</v>
      </c>
      <c r="B75" s="12" t="s">
        <v>214</v>
      </c>
      <c r="C75" s="12" t="s">
        <v>231</v>
      </c>
      <c r="D75" s="12" t="s">
        <v>232</v>
      </c>
      <c r="E75" s="19" t="s">
        <v>86</v>
      </c>
      <c r="F75" s="14" t="s">
        <v>41</v>
      </c>
      <c r="G75" s="15" t="s">
        <v>55</v>
      </c>
      <c r="H75" s="15" t="s">
        <v>55</v>
      </c>
      <c r="I75" s="15" t="s">
        <v>55</v>
      </c>
      <c r="J75" s="15"/>
      <c r="K75" s="15"/>
      <c r="L75" s="15"/>
      <c r="M75" s="15"/>
      <c r="N75" s="15"/>
      <c r="O75" s="12"/>
    </row>
    <row r="76" spans="1:15" ht="38" x14ac:dyDescent="0.25">
      <c r="A76" s="11" t="s">
        <v>233</v>
      </c>
      <c r="B76" s="12" t="s">
        <v>214</v>
      </c>
      <c r="C76" s="12" t="s">
        <v>231</v>
      </c>
      <c r="D76" s="12" t="s">
        <v>234</v>
      </c>
      <c r="E76" s="19" t="s">
        <v>86</v>
      </c>
      <c r="F76" s="16" t="s">
        <v>42</v>
      </c>
      <c r="G76" s="15"/>
      <c r="H76" s="15" t="s">
        <v>55</v>
      </c>
      <c r="I76" s="15" t="s">
        <v>55</v>
      </c>
      <c r="J76" s="15"/>
      <c r="K76" s="15"/>
      <c r="L76" s="15"/>
      <c r="M76" s="15"/>
      <c r="N76" s="15"/>
      <c r="O76" s="12"/>
    </row>
    <row r="77" spans="1:15" ht="57" x14ac:dyDescent="0.25">
      <c r="A77" s="11" t="s">
        <v>235</v>
      </c>
      <c r="B77" s="12" t="s">
        <v>214</v>
      </c>
      <c r="C77" s="12" t="s">
        <v>231</v>
      </c>
      <c r="D77" s="12" t="s">
        <v>236</v>
      </c>
      <c r="E77" s="19" t="s">
        <v>86</v>
      </c>
      <c r="F77" s="18" t="s">
        <v>43</v>
      </c>
      <c r="G77" s="15"/>
      <c r="H77" s="15"/>
      <c r="I77" s="15" t="s">
        <v>55</v>
      </c>
      <c r="J77" s="15"/>
      <c r="K77" s="15"/>
      <c r="L77" s="15"/>
      <c r="M77" s="15"/>
      <c r="N77" s="15"/>
      <c r="O77" s="12"/>
    </row>
    <row r="78" spans="1:15" ht="57" x14ac:dyDescent="0.25">
      <c r="A78" s="11" t="s">
        <v>237</v>
      </c>
      <c r="B78" s="12" t="s">
        <v>214</v>
      </c>
      <c r="C78" s="12" t="s">
        <v>238</v>
      </c>
      <c r="D78" s="12" t="s">
        <v>239</v>
      </c>
      <c r="E78" s="13" t="s">
        <v>54</v>
      </c>
      <c r="F78" s="14" t="s">
        <v>41</v>
      </c>
      <c r="G78" s="15" t="s">
        <v>55</v>
      </c>
      <c r="H78" s="15" t="s">
        <v>55</v>
      </c>
      <c r="I78" s="15" t="s">
        <v>55</v>
      </c>
      <c r="J78" s="15"/>
      <c r="K78" s="15"/>
      <c r="L78" s="15"/>
      <c r="M78" s="15"/>
      <c r="N78" s="15"/>
      <c r="O78" s="12"/>
    </row>
    <row r="79" spans="1:15" ht="38" x14ac:dyDescent="0.25">
      <c r="A79" s="11" t="s">
        <v>240</v>
      </c>
      <c r="B79" s="12" t="s">
        <v>214</v>
      </c>
      <c r="C79" s="12" t="s">
        <v>238</v>
      </c>
      <c r="D79" s="12" t="s">
        <v>241</v>
      </c>
      <c r="E79" s="13" t="s">
        <v>54</v>
      </c>
      <c r="F79" s="16" t="s">
        <v>42</v>
      </c>
      <c r="G79" s="15"/>
      <c r="H79" s="15" t="s">
        <v>55</v>
      </c>
      <c r="I79" s="15" t="s">
        <v>55</v>
      </c>
      <c r="J79" s="15"/>
      <c r="K79" s="15"/>
      <c r="L79" s="15"/>
      <c r="M79" s="15"/>
      <c r="N79" s="15"/>
      <c r="O79" s="12"/>
    </row>
    <row r="80" spans="1:15" ht="38" x14ac:dyDescent="0.25">
      <c r="A80" s="11" t="s">
        <v>242</v>
      </c>
      <c r="B80" s="12" t="s">
        <v>243</v>
      </c>
      <c r="C80" s="12" t="s">
        <v>244</v>
      </c>
      <c r="D80" s="12" t="s">
        <v>245</v>
      </c>
      <c r="E80" s="13" t="s">
        <v>54</v>
      </c>
      <c r="F80" s="16" t="s">
        <v>42</v>
      </c>
      <c r="G80" s="15"/>
      <c r="H80" s="15" t="s">
        <v>55</v>
      </c>
      <c r="I80" s="15" t="s">
        <v>55</v>
      </c>
      <c r="J80" s="15"/>
      <c r="K80" s="15"/>
      <c r="L80" s="15"/>
      <c r="M80" s="15"/>
      <c r="N80" s="15"/>
      <c r="O80" s="12"/>
    </row>
    <row r="81" spans="1:15" ht="38" x14ac:dyDescent="0.25">
      <c r="A81" s="11" t="s">
        <v>246</v>
      </c>
      <c r="B81" s="12" t="s">
        <v>243</v>
      </c>
      <c r="C81" s="12" t="s">
        <v>244</v>
      </c>
      <c r="D81" s="12" t="s">
        <v>247</v>
      </c>
      <c r="E81" s="17" t="s">
        <v>63</v>
      </c>
      <c r="F81" s="16" t="s">
        <v>42</v>
      </c>
      <c r="G81" s="15"/>
      <c r="H81" s="15" t="s">
        <v>55</v>
      </c>
      <c r="I81" s="15" t="s">
        <v>55</v>
      </c>
      <c r="J81" s="15"/>
      <c r="K81" s="15"/>
      <c r="L81" s="15"/>
      <c r="M81" s="15"/>
      <c r="N81" s="15"/>
      <c r="O81" s="12"/>
    </row>
    <row r="82" spans="1:15" ht="38" x14ac:dyDescent="0.25">
      <c r="A82" s="11" t="s">
        <v>248</v>
      </c>
      <c r="B82" s="12" t="s">
        <v>243</v>
      </c>
      <c r="C82" s="12" t="s">
        <v>244</v>
      </c>
      <c r="D82" s="12" t="s">
        <v>249</v>
      </c>
      <c r="E82" s="19" t="s">
        <v>86</v>
      </c>
      <c r="F82" s="16" t="s">
        <v>42</v>
      </c>
      <c r="G82" s="15"/>
      <c r="H82" s="15" t="s">
        <v>55</v>
      </c>
      <c r="I82" s="15" t="s">
        <v>55</v>
      </c>
      <c r="J82" s="15"/>
      <c r="K82" s="15"/>
      <c r="L82" s="15"/>
      <c r="M82" s="15"/>
      <c r="N82" s="15"/>
      <c r="O82" s="12"/>
    </row>
    <row r="83" spans="1:15" ht="38" x14ac:dyDescent="0.25">
      <c r="A83" s="11" t="s">
        <v>250</v>
      </c>
      <c r="B83" s="12" t="s">
        <v>243</v>
      </c>
      <c r="C83" s="12" t="s">
        <v>251</v>
      </c>
      <c r="D83" s="12" t="s">
        <v>252</v>
      </c>
      <c r="E83" s="19" t="s">
        <v>86</v>
      </c>
      <c r="F83" s="16" t="s">
        <v>42</v>
      </c>
      <c r="G83" s="15"/>
      <c r="H83" s="15" t="s">
        <v>55</v>
      </c>
      <c r="I83" s="15" t="s">
        <v>55</v>
      </c>
      <c r="J83" s="15"/>
      <c r="K83" s="15"/>
      <c r="L83" s="15"/>
      <c r="M83" s="15"/>
      <c r="N83" s="15"/>
      <c r="O83" s="12"/>
    </row>
    <row r="84" spans="1:15" ht="57" x14ac:dyDescent="0.25">
      <c r="A84" s="11" t="s">
        <v>253</v>
      </c>
      <c r="B84" s="12" t="s">
        <v>243</v>
      </c>
      <c r="C84" s="12" t="s">
        <v>251</v>
      </c>
      <c r="D84" s="12" t="s">
        <v>254</v>
      </c>
      <c r="E84" s="19" t="s">
        <v>86</v>
      </c>
      <c r="F84" s="18" t="s">
        <v>43</v>
      </c>
      <c r="G84" s="15"/>
      <c r="H84" s="15"/>
      <c r="I84" s="15" t="s">
        <v>55</v>
      </c>
      <c r="J84" s="15"/>
      <c r="K84" s="15"/>
      <c r="L84" s="15"/>
      <c r="M84" s="15"/>
      <c r="N84" s="15"/>
      <c r="O84" s="12"/>
    </row>
    <row r="85" spans="1:15" ht="38" x14ac:dyDescent="0.25">
      <c r="A85" s="11" t="s">
        <v>255</v>
      </c>
      <c r="B85" s="12" t="s">
        <v>243</v>
      </c>
      <c r="C85" s="12" t="s">
        <v>251</v>
      </c>
      <c r="D85" s="12" t="s">
        <v>256</v>
      </c>
      <c r="E85" s="19" t="s">
        <v>86</v>
      </c>
      <c r="F85" s="18" t="s">
        <v>43</v>
      </c>
      <c r="G85" s="15"/>
      <c r="H85" s="15"/>
      <c r="I85" s="15" t="s">
        <v>55</v>
      </c>
      <c r="J85" s="15"/>
      <c r="K85" s="15"/>
      <c r="L85" s="15"/>
      <c r="M85" s="15"/>
      <c r="N85" s="15"/>
      <c r="O85" s="12"/>
    </row>
    <row r="86" spans="1:15" ht="57" x14ac:dyDescent="0.25">
      <c r="A86" s="11" t="s">
        <v>257</v>
      </c>
      <c r="B86" s="12" t="s">
        <v>243</v>
      </c>
      <c r="C86" s="12" t="s">
        <v>258</v>
      </c>
      <c r="D86" s="12" t="s">
        <v>259</v>
      </c>
      <c r="E86" s="13" t="s">
        <v>54</v>
      </c>
      <c r="F86" s="16" t="s">
        <v>42</v>
      </c>
      <c r="G86" s="15"/>
      <c r="H86" s="15" t="s">
        <v>55</v>
      </c>
      <c r="I86" s="15" t="s">
        <v>55</v>
      </c>
      <c r="J86" s="15"/>
      <c r="K86" s="15"/>
      <c r="L86" s="15"/>
      <c r="M86" s="15"/>
      <c r="N86" s="15"/>
      <c r="O86" s="12"/>
    </row>
    <row r="87" spans="1:15" ht="76" x14ac:dyDescent="0.25">
      <c r="A87" s="11" t="s">
        <v>260</v>
      </c>
      <c r="B87" s="12" t="s">
        <v>243</v>
      </c>
      <c r="C87" s="12" t="s">
        <v>258</v>
      </c>
      <c r="D87" s="12" t="s">
        <v>261</v>
      </c>
      <c r="E87" s="19" t="s">
        <v>86</v>
      </c>
      <c r="F87" s="18" t="s">
        <v>43</v>
      </c>
      <c r="G87" s="15"/>
      <c r="H87" s="15"/>
      <c r="I87" s="15" t="s">
        <v>55</v>
      </c>
      <c r="J87" s="15"/>
      <c r="K87" s="15"/>
      <c r="L87" s="15"/>
      <c r="M87" s="15"/>
      <c r="N87" s="15"/>
      <c r="O87" s="12"/>
    </row>
    <row r="88" spans="1:15" ht="57" x14ac:dyDescent="0.25">
      <c r="A88" s="11" t="s">
        <v>262</v>
      </c>
      <c r="B88" s="12" t="s">
        <v>243</v>
      </c>
      <c r="C88" s="12" t="s">
        <v>263</v>
      </c>
      <c r="D88" s="12" t="s">
        <v>264</v>
      </c>
      <c r="E88" s="19" t="s">
        <v>86</v>
      </c>
      <c r="F88" s="16" t="s">
        <v>42</v>
      </c>
      <c r="G88" s="15"/>
      <c r="H88" s="15" t="s">
        <v>55</v>
      </c>
      <c r="I88" s="15" t="s">
        <v>55</v>
      </c>
      <c r="J88" s="15"/>
      <c r="K88" s="15"/>
      <c r="L88" s="15"/>
      <c r="M88" s="15"/>
      <c r="N88" s="15"/>
      <c r="O88" s="12"/>
    </row>
    <row r="89" spans="1:15" ht="38" x14ac:dyDescent="0.25">
      <c r="A89" s="11" t="s">
        <v>265</v>
      </c>
      <c r="B89" s="12" t="s">
        <v>243</v>
      </c>
      <c r="C89" s="12" t="s">
        <v>263</v>
      </c>
      <c r="D89" s="12" t="s">
        <v>266</v>
      </c>
      <c r="E89" s="19" t="s">
        <v>86</v>
      </c>
      <c r="F89" s="16" t="s">
        <v>42</v>
      </c>
      <c r="G89" s="15"/>
      <c r="H89" s="15" t="s">
        <v>55</v>
      </c>
      <c r="I89" s="15" t="s">
        <v>55</v>
      </c>
      <c r="J89" s="15"/>
      <c r="K89" s="15"/>
      <c r="L89" s="15"/>
      <c r="M89" s="15"/>
      <c r="N89" s="15"/>
      <c r="O89" s="12"/>
    </row>
    <row r="90" spans="1:15" ht="57" x14ac:dyDescent="0.25">
      <c r="A90" s="11" t="s">
        <v>267</v>
      </c>
      <c r="B90" s="12" t="s">
        <v>243</v>
      </c>
      <c r="C90" s="12" t="s">
        <v>263</v>
      </c>
      <c r="D90" s="12" t="s">
        <v>268</v>
      </c>
      <c r="E90" s="13" t="s">
        <v>54</v>
      </c>
      <c r="F90" s="18" t="s">
        <v>43</v>
      </c>
      <c r="G90" s="15"/>
      <c r="H90" s="15"/>
      <c r="I90" s="15" t="s">
        <v>55</v>
      </c>
      <c r="J90" s="15"/>
      <c r="K90" s="15"/>
      <c r="L90" s="15"/>
      <c r="M90" s="15"/>
      <c r="N90" s="15"/>
      <c r="O90" s="12"/>
    </row>
    <row r="91" spans="1:15" ht="57" x14ac:dyDescent="0.25">
      <c r="A91" s="11" t="s">
        <v>269</v>
      </c>
      <c r="B91" s="12" t="s">
        <v>270</v>
      </c>
      <c r="C91" s="12" t="s">
        <v>271</v>
      </c>
      <c r="D91" s="12" t="s">
        <v>272</v>
      </c>
      <c r="E91" s="19" t="s">
        <v>86</v>
      </c>
      <c r="F91" s="16" t="s">
        <v>42</v>
      </c>
      <c r="G91" s="15"/>
      <c r="H91" s="15" t="s">
        <v>55</v>
      </c>
      <c r="I91" s="15" t="s">
        <v>55</v>
      </c>
      <c r="J91" s="15"/>
      <c r="K91" s="15"/>
      <c r="L91" s="15"/>
      <c r="M91" s="15"/>
      <c r="N91" s="15"/>
      <c r="O91" s="12"/>
    </row>
    <row r="92" spans="1:15" ht="38" x14ac:dyDescent="0.25">
      <c r="A92" s="11" t="s">
        <v>273</v>
      </c>
      <c r="B92" s="12" t="s">
        <v>270</v>
      </c>
      <c r="C92" s="12" t="s">
        <v>271</v>
      </c>
      <c r="D92" s="12" t="s">
        <v>274</v>
      </c>
      <c r="E92" s="19" t="s">
        <v>86</v>
      </c>
      <c r="F92" s="16" t="s">
        <v>42</v>
      </c>
      <c r="G92" s="15"/>
      <c r="H92" s="15" t="s">
        <v>55</v>
      </c>
      <c r="I92" s="15" t="s">
        <v>55</v>
      </c>
      <c r="J92" s="15"/>
      <c r="K92" s="15"/>
      <c r="L92" s="15"/>
      <c r="M92" s="15"/>
      <c r="N92" s="15"/>
      <c r="O92" s="12"/>
    </row>
    <row r="93" spans="1:15" ht="38" x14ac:dyDescent="0.25">
      <c r="A93" s="11" t="s">
        <v>275</v>
      </c>
      <c r="B93" s="12" t="s">
        <v>270</v>
      </c>
      <c r="C93" s="12" t="s">
        <v>271</v>
      </c>
      <c r="D93" s="12" t="s">
        <v>276</v>
      </c>
      <c r="E93" s="19" t="s">
        <v>86</v>
      </c>
      <c r="F93" s="18" t="s">
        <v>43</v>
      </c>
      <c r="G93" s="15"/>
      <c r="H93" s="15"/>
      <c r="I93" s="15" t="s">
        <v>55</v>
      </c>
      <c r="J93" s="15"/>
      <c r="K93" s="15"/>
      <c r="L93" s="15"/>
      <c r="M93" s="15"/>
      <c r="N93" s="15"/>
      <c r="O93" s="12"/>
    </row>
    <row r="94" spans="1:15" ht="38" x14ac:dyDescent="0.25">
      <c r="A94" s="11" t="s">
        <v>277</v>
      </c>
      <c r="B94" s="12" t="s">
        <v>270</v>
      </c>
      <c r="C94" s="12" t="s">
        <v>278</v>
      </c>
      <c r="D94" s="12" t="s">
        <v>279</v>
      </c>
      <c r="E94" s="19" t="s">
        <v>86</v>
      </c>
      <c r="F94" s="16" t="s">
        <v>42</v>
      </c>
      <c r="G94" s="15"/>
      <c r="H94" s="15" t="s">
        <v>55</v>
      </c>
      <c r="I94" s="15" t="s">
        <v>55</v>
      </c>
      <c r="J94" s="15"/>
      <c r="K94" s="15"/>
      <c r="L94" s="15"/>
      <c r="M94" s="15"/>
      <c r="N94" s="15"/>
      <c r="O94" s="12"/>
    </row>
    <row r="95" spans="1:15" ht="57" x14ac:dyDescent="0.25">
      <c r="A95" s="11" t="s">
        <v>280</v>
      </c>
      <c r="B95" s="12" t="s">
        <v>270</v>
      </c>
      <c r="C95" s="12" t="s">
        <v>278</v>
      </c>
      <c r="D95" s="12" t="s">
        <v>281</v>
      </c>
      <c r="E95" s="19" t="s">
        <v>86</v>
      </c>
      <c r="F95" s="16" t="s">
        <v>42</v>
      </c>
      <c r="G95" s="15"/>
      <c r="H95" s="15" t="s">
        <v>55</v>
      </c>
      <c r="I95" s="15" t="s">
        <v>55</v>
      </c>
      <c r="J95" s="15"/>
      <c r="K95" s="15"/>
      <c r="L95" s="15"/>
      <c r="M95" s="15"/>
      <c r="N95" s="15"/>
      <c r="O95" s="12"/>
    </row>
    <row r="96" spans="1:15" ht="57" x14ac:dyDescent="0.25">
      <c r="A96" s="11" t="s">
        <v>282</v>
      </c>
      <c r="B96" s="12" t="s">
        <v>270</v>
      </c>
      <c r="C96" s="12" t="s">
        <v>278</v>
      </c>
      <c r="D96" s="12" t="s">
        <v>283</v>
      </c>
      <c r="E96" s="13" t="s">
        <v>54</v>
      </c>
      <c r="F96" s="16" t="s">
        <v>42</v>
      </c>
      <c r="G96" s="15"/>
      <c r="H96" s="15" t="s">
        <v>55</v>
      </c>
      <c r="I96" s="15" t="s">
        <v>55</v>
      </c>
      <c r="J96" s="15"/>
      <c r="K96" s="15"/>
      <c r="L96" s="15"/>
      <c r="M96" s="15"/>
      <c r="N96" s="15"/>
      <c r="O96" s="12"/>
    </row>
    <row r="97" spans="1:15" ht="38" x14ac:dyDescent="0.25">
      <c r="A97" s="11" t="s">
        <v>284</v>
      </c>
      <c r="B97" s="12" t="s">
        <v>270</v>
      </c>
      <c r="C97" s="12" t="s">
        <v>285</v>
      </c>
      <c r="D97" s="12" t="s">
        <v>286</v>
      </c>
      <c r="E97" s="19" t="s">
        <v>86</v>
      </c>
      <c r="F97" s="18" t="s">
        <v>43</v>
      </c>
      <c r="G97" s="15"/>
      <c r="H97" s="15"/>
      <c r="I97" s="15" t="s">
        <v>55</v>
      </c>
      <c r="J97" s="15"/>
      <c r="K97" s="15"/>
      <c r="L97" s="15"/>
      <c r="M97" s="15"/>
      <c r="N97" s="15"/>
      <c r="O97" s="12"/>
    </row>
    <row r="98" spans="1:15" ht="38" x14ac:dyDescent="0.25">
      <c r="A98" s="11" t="s">
        <v>287</v>
      </c>
      <c r="B98" s="12" t="s">
        <v>270</v>
      </c>
      <c r="C98" s="12" t="s">
        <v>285</v>
      </c>
      <c r="D98" s="12" t="s">
        <v>288</v>
      </c>
      <c r="E98" s="13" t="s">
        <v>54</v>
      </c>
      <c r="F98" s="18" t="s">
        <v>43</v>
      </c>
      <c r="G98" s="15"/>
      <c r="H98" s="15"/>
      <c r="I98" s="15" t="s">
        <v>55</v>
      </c>
      <c r="J98" s="15"/>
      <c r="K98" s="15"/>
      <c r="L98" s="15"/>
      <c r="M98" s="15"/>
      <c r="N98" s="15"/>
      <c r="O98" s="12"/>
    </row>
    <row r="99" spans="1:15" ht="57" x14ac:dyDescent="0.25">
      <c r="A99" s="11" t="s">
        <v>289</v>
      </c>
      <c r="B99" s="12" t="s">
        <v>270</v>
      </c>
      <c r="C99" s="12" t="s">
        <v>290</v>
      </c>
      <c r="D99" s="12" t="s">
        <v>291</v>
      </c>
      <c r="E99" s="13" t="s">
        <v>54</v>
      </c>
      <c r="F99" s="16" t="s">
        <v>42</v>
      </c>
      <c r="G99" s="15"/>
      <c r="H99" s="15" t="s">
        <v>55</v>
      </c>
      <c r="I99" s="15" t="s">
        <v>55</v>
      </c>
      <c r="J99" s="15"/>
      <c r="K99" s="15"/>
      <c r="L99" s="15"/>
      <c r="M99" s="15"/>
      <c r="N99" s="15"/>
      <c r="O99" s="12"/>
    </row>
    <row r="100" spans="1:15" ht="38" x14ac:dyDescent="0.25">
      <c r="A100" s="11" t="s">
        <v>292</v>
      </c>
      <c r="B100" s="12" t="s">
        <v>270</v>
      </c>
      <c r="C100" s="12" t="s">
        <v>290</v>
      </c>
      <c r="D100" s="12" t="s">
        <v>293</v>
      </c>
      <c r="E100" s="13" t="s">
        <v>54</v>
      </c>
      <c r="F100" s="18" t="s">
        <v>43</v>
      </c>
      <c r="G100" s="15"/>
      <c r="H100" s="15"/>
      <c r="I100" s="15" t="s">
        <v>55</v>
      </c>
      <c r="J100" s="15"/>
      <c r="K100" s="15"/>
      <c r="L100" s="15"/>
      <c r="M100" s="15"/>
      <c r="N100" s="15"/>
      <c r="O100" s="12"/>
    </row>
  </sheetData>
  <autoFilter ref="A1:O100" xr:uid="{00000000-0009-0000-0000-000001000000}"/>
  <dataValidations disablePrompts="1" count="1">
    <dataValidation type="list" allowBlank="1" sqref="N2:N100" xr:uid="{00000000-0002-0000-0100-000000000000}">
      <formula1>"Not Assessed,In Place,Partial,Not In Place,N/A"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2"/>
  <sheetViews>
    <sheetView showGridLines="0" zoomScaleNormal="100" workbookViewId="0">
      <selection activeCell="C32" sqref="C32"/>
    </sheetView>
  </sheetViews>
  <sheetFormatPr baseColWidth="10" defaultColWidth="8.6640625" defaultRowHeight="19" x14ac:dyDescent="0.25"/>
  <cols>
    <col min="1" max="1" width="3" style="10" customWidth="1"/>
    <col min="2" max="2" width="60.1640625" style="10" bestFit="1" customWidth="1"/>
    <col min="3" max="3" width="8.1640625" style="10" bestFit="1" customWidth="1"/>
    <col min="4" max="5" width="4" style="10" bestFit="1" customWidth="1"/>
    <col min="6" max="6" width="7" style="10" bestFit="1" customWidth="1"/>
    <col min="7" max="16384" width="8.6640625" style="10"/>
  </cols>
  <sheetData>
    <row r="2" spans="2:6" x14ac:dyDescent="0.25">
      <c r="B2" s="20" t="s">
        <v>294</v>
      </c>
    </row>
    <row r="4" spans="2:6" x14ac:dyDescent="0.25">
      <c r="B4" s="21" t="s">
        <v>36</v>
      </c>
      <c r="C4" s="21" t="s">
        <v>41</v>
      </c>
      <c r="D4" s="21" t="s">
        <v>42</v>
      </c>
      <c r="E4" s="21" t="s">
        <v>43</v>
      </c>
      <c r="F4" s="21" t="s">
        <v>295</v>
      </c>
    </row>
    <row r="5" spans="2:6" x14ac:dyDescent="0.25">
      <c r="B5" s="22" t="s">
        <v>51</v>
      </c>
      <c r="C5" s="23">
        <f>COUNTIFS(Requirements!$B$2:$B$100,$B5,Requirements!$F$2:$F$100,"L1")</f>
        <v>2</v>
      </c>
      <c r="D5" s="23">
        <f>COUNTIFS(Requirements!$B$2:$B$100,$B5,Requirements!$F$2:$F$100,"L2")</f>
        <v>8</v>
      </c>
      <c r="E5" s="23">
        <f>COUNTIFS(Requirements!$B$2:$B$100,$B5,Requirements!$F$2:$F$100,"L3")</f>
        <v>2</v>
      </c>
      <c r="F5" s="24">
        <f t="shared" ref="F5:F12" si="0">SUM(C5:E5)</f>
        <v>12</v>
      </c>
    </row>
    <row r="6" spans="2:6" x14ac:dyDescent="0.25">
      <c r="B6" s="22" t="s">
        <v>83</v>
      </c>
      <c r="C6" s="23">
        <f>COUNTIFS(Requirements!$B$2:$B$100,$B6,Requirements!$F$2:$F$100,"L1")</f>
        <v>3</v>
      </c>
      <c r="D6" s="23">
        <f>COUNTIFS(Requirements!$B$2:$B$100,$B6,Requirements!$F$2:$F$100,"L2")</f>
        <v>10</v>
      </c>
      <c r="E6" s="23">
        <f>COUNTIFS(Requirements!$B$2:$B$100,$B6,Requirements!$F$2:$F$100,"L3")</f>
        <v>5</v>
      </c>
      <c r="F6" s="24">
        <f t="shared" si="0"/>
        <v>18</v>
      </c>
    </row>
    <row r="7" spans="2:6" x14ac:dyDescent="0.25">
      <c r="B7" s="22" t="s">
        <v>126</v>
      </c>
      <c r="C7" s="23">
        <f>COUNTIFS(Requirements!$B$2:$B$100,$B7,Requirements!$F$2:$F$100,"L1")</f>
        <v>1</v>
      </c>
      <c r="D7" s="23">
        <f>COUNTIFS(Requirements!$B$2:$B$100,$B7,Requirements!$F$2:$F$100,"L2")</f>
        <v>7</v>
      </c>
      <c r="E7" s="23">
        <f>COUNTIFS(Requirements!$B$2:$B$100,$B7,Requirements!$F$2:$F$100,"L3")</f>
        <v>4</v>
      </c>
      <c r="F7" s="24">
        <f t="shared" si="0"/>
        <v>12</v>
      </c>
    </row>
    <row r="8" spans="2:6" x14ac:dyDescent="0.25">
      <c r="B8" s="22" t="s">
        <v>155</v>
      </c>
      <c r="C8" s="23">
        <f>COUNTIFS(Requirements!$B$2:$B$100,$B8,Requirements!$F$2:$F$100,"L1")</f>
        <v>2</v>
      </c>
      <c r="D8" s="23">
        <f>COUNTIFS(Requirements!$B$2:$B$100,$B8,Requirements!$F$2:$F$100,"L2")</f>
        <v>7</v>
      </c>
      <c r="E8" s="23">
        <f>COUNTIFS(Requirements!$B$2:$B$100,$B8,Requirements!$F$2:$F$100,"L3")</f>
        <v>4</v>
      </c>
      <c r="F8" s="24">
        <f t="shared" si="0"/>
        <v>13</v>
      </c>
    </row>
    <row r="9" spans="2:6" x14ac:dyDescent="0.25">
      <c r="B9" s="22" t="s">
        <v>186</v>
      </c>
      <c r="C9" s="23">
        <f>COUNTIFS(Requirements!$B$2:$B$100,$B9,Requirements!$F$2:$F$100,"L1")</f>
        <v>0</v>
      </c>
      <c r="D9" s="23">
        <f>COUNTIFS(Requirements!$B$2:$B$100,$B9,Requirements!$F$2:$F$100,"L2")</f>
        <v>6</v>
      </c>
      <c r="E9" s="23">
        <f>COUNTIFS(Requirements!$B$2:$B$100,$B9,Requirements!$F$2:$F$100,"L3")</f>
        <v>5</v>
      </c>
      <c r="F9" s="24">
        <f t="shared" si="0"/>
        <v>11</v>
      </c>
    </row>
    <row r="10" spans="2:6" x14ac:dyDescent="0.25">
      <c r="B10" s="22" t="s">
        <v>214</v>
      </c>
      <c r="C10" s="23">
        <f>COUNTIFS(Requirements!$B$2:$B$100,$B10,Requirements!$F$2:$F$100,"L1")</f>
        <v>4</v>
      </c>
      <c r="D10" s="23">
        <f>COUNTIFS(Requirements!$B$2:$B$100,$B10,Requirements!$F$2:$F$100,"L2")</f>
        <v>6</v>
      </c>
      <c r="E10" s="23">
        <f>COUNTIFS(Requirements!$B$2:$B$100,$B10,Requirements!$F$2:$F$100,"L3")</f>
        <v>2</v>
      </c>
      <c r="F10" s="24">
        <f t="shared" si="0"/>
        <v>12</v>
      </c>
    </row>
    <row r="11" spans="2:6" x14ac:dyDescent="0.25">
      <c r="B11" s="22" t="s">
        <v>243</v>
      </c>
      <c r="C11" s="23">
        <f>COUNTIFS(Requirements!$B$2:$B$100,$B11,Requirements!$F$2:$F$100,"L1")</f>
        <v>0</v>
      </c>
      <c r="D11" s="23">
        <f>COUNTIFS(Requirements!$B$2:$B$100,$B11,Requirements!$F$2:$F$100,"L2")</f>
        <v>7</v>
      </c>
      <c r="E11" s="23">
        <f>COUNTIFS(Requirements!$B$2:$B$100,$B11,Requirements!$F$2:$F$100,"L3")</f>
        <v>4</v>
      </c>
      <c r="F11" s="24">
        <f t="shared" si="0"/>
        <v>11</v>
      </c>
    </row>
    <row r="12" spans="2:6" x14ac:dyDescent="0.25">
      <c r="B12" s="22" t="s">
        <v>270</v>
      </c>
      <c r="C12" s="23">
        <f>COUNTIFS(Requirements!$B$2:$B$100,$B12,Requirements!$F$2:$F$100,"L1")</f>
        <v>0</v>
      </c>
      <c r="D12" s="23">
        <f>COUNTIFS(Requirements!$B$2:$B$100,$B12,Requirements!$F$2:$F$100,"L2")</f>
        <v>6</v>
      </c>
      <c r="E12" s="23">
        <f>COUNTIFS(Requirements!$B$2:$B$100,$B12,Requirements!$F$2:$F$100,"L3")</f>
        <v>4</v>
      </c>
      <c r="F12" s="24">
        <f t="shared" si="0"/>
        <v>10</v>
      </c>
    </row>
    <row r="13" spans="2:6" x14ac:dyDescent="0.25">
      <c r="B13" s="25" t="s">
        <v>295</v>
      </c>
      <c r="C13" s="24">
        <f>SUM(C5:C12)</f>
        <v>12</v>
      </c>
      <c r="D13" s="24">
        <f>SUM(D5:D12)</f>
        <v>57</v>
      </c>
      <c r="E13" s="24">
        <f>SUM(E5:E12)</f>
        <v>30</v>
      </c>
      <c r="F13" s="24">
        <f>SUM(F5:F12)</f>
        <v>99</v>
      </c>
    </row>
    <row r="15" spans="2:6" x14ac:dyDescent="0.25">
      <c r="B15" s="20" t="s">
        <v>296</v>
      </c>
    </row>
    <row r="16" spans="2:6" x14ac:dyDescent="0.25">
      <c r="B16" s="21" t="s">
        <v>39</v>
      </c>
      <c r="C16" s="21" t="s">
        <v>297</v>
      </c>
    </row>
    <row r="17" spans="2:6" x14ac:dyDescent="0.25">
      <c r="B17" s="22" t="s">
        <v>86</v>
      </c>
      <c r="C17" s="23">
        <f>COUNTIF(Requirements!$E$2:$E$100,"*Technical*")</f>
        <v>72</v>
      </c>
    </row>
    <row r="18" spans="2:6" x14ac:dyDescent="0.25">
      <c r="B18" s="22" t="s">
        <v>54</v>
      </c>
      <c r="C18" s="23">
        <f>COUNTIF(Requirements!$E$2:$E$100,"*Governance*")</f>
        <v>22</v>
      </c>
    </row>
    <row r="19" spans="2:6" x14ac:dyDescent="0.25">
      <c r="B19" s="22" t="s">
        <v>63</v>
      </c>
      <c r="C19" s="23">
        <f>COUNTIF(Requirements!$E$2:$E$100,"*Policy*")</f>
        <v>5</v>
      </c>
    </row>
    <row r="21" spans="2:6" ht="15" customHeight="1" x14ac:dyDescent="0.25">
      <c r="B21" s="27" t="s">
        <v>298</v>
      </c>
      <c r="C21" s="27"/>
      <c r="D21" s="27"/>
      <c r="E21" s="27"/>
      <c r="F21" s="27"/>
    </row>
    <row r="22" spans="2:6" x14ac:dyDescent="0.25">
      <c r="B22" s="27"/>
      <c r="C22" s="27"/>
      <c r="D22" s="27"/>
      <c r="E22" s="27"/>
      <c r="F22" s="27"/>
    </row>
  </sheetData>
  <mergeCells count="1">
    <mergeCell ref="B21: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Requirements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Jerry Hoff</cp:lastModifiedBy>
  <cp:revision>0</cp:revision>
  <dcterms:created xsi:type="dcterms:W3CDTF">2026-08-01T19:14:40Z</dcterms:created>
  <dcterms:modified xsi:type="dcterms:W3CDTF">2026-09-08T19:39:39Z</dcterms:modified>
  <dc:language>en-US</dc:language>
</cp:coreProperties>
</file>